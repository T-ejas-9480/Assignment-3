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 mentor\ASS3\"/>
    </mc:Choice>
  </mc:AlternateContent>
  <xr:revisionPtr revIDLastSave="0" documentId="13_ncr:1_{B433CA21-3C10-433D-98A9-8F5D9D7FDD2C}" xr6:coauthVersionLast="36" xr6:coauthVersionMax="36" xr10:uidLastSave="{00000000-0000-0000-0000-000000000000}"/>
  <bookViews>
    <workbookView xWindow="-120" yWindow="-120" windowWidth="20730" windowHeight="11040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4" l="1"/>
  <c r="A21" i="4"/>
  <c r="B20" i="2"/>
  <c r="B25" i="3"/>
  <c r="B22" i="3"/>
  <c r="C29" i="7"/>
  <c r="C25" i="7"/>
  <c r="C21" i="7"/>
  <c r="C17" i="7"/>
  <c r="H21" i="6"/>
  <c r="H20" i="6"/>
  <c r="H18" i="6"/>
  <c r="H16" i="6"/>
  <c r="H15" i="6"/>
  <c r="C13" i="5"/>
  <c r="C12" i="5"/>
  <c r="C11" i="5"/>
  <c r="A18" i="4"/>
  <c r="B17" i="2"/>
</calcChain>
</file>

<file path=xl/sharedStrings.xml><?xml version="1.0" encoding="utf-8"?>
<sst xmlns="http://schemas.openxmlformats.org/spreadsheetml/2006/main" count="146" uniqueCount="110">
  <si>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</si>
  <si>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</si>
  <si>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</si>
  <si>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</si>
  <si>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</si>
  <si>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</si>
  <si>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</si>
  <si>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</si>
  <si>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</si>
  <si>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</si>
  <si>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</si>
  <si>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</si>
  <si>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</si>
  <si>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</si>
  <si>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</si>
  <si>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</si>
  <si>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</si>
  <si>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</si>
  <si>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</si>
  <si>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</si>
  <si>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</si>
  <si>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</si>
  <si>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</si>
  <si>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</si>
  <si>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</si>
  <si>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</si>
  <si>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</si>
  <si>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</si>
  <si>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</si>
  <si>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</si>
  <si>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</si>
  <si>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</si>
  <si>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</si>
  <si>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</si>
  <si>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</si>
  <si>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</si>
  <si>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</si>
  <si>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</si>
  <si>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</si>
  <si>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</si>
  <si>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</si>
  <si>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</si>
  <si>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</si>
  <si>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</si>
  <si>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</si>
  <si>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</si>
  <si>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</si>
  <si>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</si>
  <si>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</si>
  <si>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</si>
  <si>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</si>
  <si>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</si>
  <si>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</si>
  <si>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</si>
  <si>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</si>
  <si>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</si>
  <si>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</si>
  <si>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</si>
  <si>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</si>
  <si>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</si>
  <si>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</si>
  <si>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</si>
  <si>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</si>
  <si>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</si>
  <si>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</si>
  <si>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</si>
  <si>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</si>
  <si>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</si>
  <si>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</si>
  <si>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</si>
  <si>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</si>
  <si>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</si>
  <si>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</si>
  <si>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</si>
  <si>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</si>
  <si>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</si>
  <si>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</si>
  <si>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</si>
  <si>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</si>
  <si>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</si>
  <si>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</si>
  <si>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</si>
  <si>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</si>
  <si>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</si>
  <si>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</si>
  <si>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</si>
  <si>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</si>
  <si>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</si>
  <si>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</si>
  <si>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</si>
  <si>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</si>
  <si>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</si>
  <si>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</si>
  <si>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</si>
  <si>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</si>
  <si>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</si>
  <si>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</si>
  <si>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</si>
  <si>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</si>
  <si>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</si>
  <si>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</si>
  <si>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</si>
  <si>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</si>
  <si>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</si>
  <si>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</si>
  <si>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</si>
  <si>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</si>
  <si>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</si>
  <si>
    <t>200, 190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</si>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</sst>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0" fontId="0" fillId="0" borderId="0" xfId="0" applyAlignment="1">
      <alignment horizontal="left"/>
    </xf>
    <xf numFmtId="3" fontId="18" fillId="7" borderId="10" xfId="0" applyNumberFormat="1" applyFont="1" applyFill="1" applyBorder="1"/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  <xf numFmtId="0" fontId="13" fillId="3" borderId="8" xfId="0" applyNumberFormat="1" applyFont="1" applyFill="1" applyBorder="1" applyAlignment="1">
      <alignment horizontal="right"/>
    </xf>
    <xf numFmtId="3" fontId="13" fillId="0" borderId="0" xfId="0" applyNumberFormat="1" applyFont="1"/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3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3" fontId="0" fillId="0" borderId="0" xfId="0" applyNumberFormat="1"/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>
      <alignment horizontal="center"/>
    </xf>
    <xf numFmtId="0" fontId="4" fillId="5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5E221-5E66-4FE3-8321-3B270B15B0E4}" name="Table1" displayName="Table1" ref="B1:E11" totalsRowShown="0" headerRowDxfId="10" headerRowBorderDxfId="16" tableBorderDxfId="17" totalsRowBorderDxfId="15">
  <autoFilter ref="B1:E11" xr:uid="{D31AD01A-9B48-48CA-84CC-DF5F2D42CF22}"/>
  <tableColumns count="4">
    <tableColumn id="1" xr3:uid="{17A9BED3-0979-4371-A4BF-BA85892CF2A7}" name="Client #" dataDxfId="14"/>
    <tableColumn id="2" xr3:uid="{D283FB73-D74C-4D1C-A22E-0419E28EADCE}" name="Balance" dataDxfId="13"/>
    <tableColumn id="3" xr3:uid="{506CB78C-5916-4289-AB2F-D7CA38B39C20}" name="VIP Account?" dataDxfId="12"/>
    <tableColumn id="4" xr3:uid="{BA5CDF1C-26F9-41A5-9838-9C4CB2B0FE3C}" name="Total commision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E076A-213E-4546-83B4-E92339913850}" name="Table2" displayName="Table2" ref="B1:E11" totalsRowShown="0" headerRowDxfId="0" headerRowBorderDxfId="6" tableBorderDxfId="7" totalsRowBorderDxfId="5">
  <autoFilter ref="B1:E11" xr:uid="{0DCB6B01-7313-4723-ABB5-8695BE4CD500}">
    <filterColumn colId="2">
      <filters>
        <filter val="USA"/>
      </filters>
    </filterColumn>
  </autoFilter>
  <tableColumns count="4">
    <tableColumn id="1" xr3:uid="{2A8B6AE5-6C7B-40B5-8535-572570E13E85}" name="Name" dataDxfId="4"/>
    <tableColumn id="2" xr3:uid="{8CA541EB-9E1C-4583-96CD-75C632E51D30}" name="Sport" dataDxfId="3"/>
    <tableColumn id="3" xr3:uid="{6202D90E-FCA2-4893-9F8C-2EE08DBB92F1}" name="Country" dataDxfId="2"/>
    <tableColumn id="4" xr3:uid="{D5A32D32-1BFD-4F2D-89A3-BE03A5B71976}" name="Medals W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topLeftCell="A10" workbookViewId="0">
      <selection activeCell="B23" sqref="B23"/>
    </sheetView>
  </sheetViews>
  <sheetFormatPr defaultRowHeight="15" x14ac:dyDescent="0.25"/>
  <cols>
    <col min="1" max="1" width="18.5703125" customWidth="1"/>
    <col min="2" max="2" width="15" customWidth="1"/>
  </cols>
  <sheetData>
    <row r="1" spans="1:7" ht="21" x14ac:dyDescent="0.35">
      <c r="A1" s="9" t="s">
        <v>1</v>
      </c>
      <c r="B1" s="10"/>
      <c r="C1" s="10"/>
      <c r="D1" s="10"/>
      <c r="E1" s="3"/>
      <c r="F1" s="3"/>
      <c r="G1" s="3"/>
    </row>
    <row r="2" spans="1:7" ht="21" x14ac:dyDescent="0.35">
      <c r="A2" s="11" t="s">
        <v>2</v>
      </c>
      <c r="B2" s="10"/>
      <c r="C2" s="10"/>
      <c r="D2" s="10"/>
      <c r="E2" s="3"/>
      <c r="F2" s="3"/>
      <c r="G2" s="3"/>
    </row>
    <row r="3" spans="1:7" ht="21" x14ac:dyDescent="0.35">
      <c r="A3" s="11"/>
      <c r="B3" s="10"/>
      <c r="C3" s="10"/>
      <c r="D3" s="10"/>
      <c r="E3" s="3"/>
      <c r="F3" s="3"/>
      <c r="G3" s="3"/>
    </row>
    <row r="4" spans="1:7" ht="20.25" x14ac:dyDescent="0.3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25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25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25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25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25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25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25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25">
      <c r="C12" s="3"/>
      <c r="D12" s="3"/>
      <c r="E12" s="3"/>
      <c r="F12" s="3"/>
      <c r="G12" s="3"/>
    </row>
    <row r="13" spans="1:7" x14ac:dyDescent="0.25">
      <c r="C13" s="3"/>
      <c r="D13" s="3"/>
      <c r="E13" s="3"/>
      <c r="F13" s="3"/>
      <c r="G13" s="3"/>
    </row>
    <row r="14" spans="1:7" ht="21" x14ac:dyDescent="0.35">
      <c r="A14" s="11" t="s">
        <v>17</v>
      </c>
      <c r="B14" s="10"/>
      <c r="C14" s="10"/>
      <c r="D14" s="10"/>
      <c r="E14" s="10"/>
      <c r="F14" s="10"/>
      <c r="G14" s="10"/>
    </row>
    <row r="15" spans="1:7" ht="20.25" x14ac:dyDescent="0.3">
      <c r="A15" s="10"/>
      <c r="B15" s="10"/>
      <c r="C15" s="10"/>
      <c r="D15" s="10"/>
      <c r="E15" s="10"/>
      <c r="F15" s="10"/>
      <c r="G15" s="10"/>
    </row>
    <row r="16" spans="1:7" ht="21.75" thickBot="1" x14ac:dyDescent="0.4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75" thickBot="1" x14ac:dyDescent="0.4">
      <c r="A17" s="11" t="s">
        <v>4</v>
      </c>
      <c r="B17" s="12">
        <f>COUNT(B5:B11)</f>
        <v>4</v>
      </c>
      <c r="C17" s="11"/>
      <c r="D17" s="10"/>
      <c r="E17" s="10"/>
      <c r="F17" s="10"/>
      <c r="G17" s="10"/>
    </row>
    <row r="18" spans="1:7" ht="20.25" x14ac:dyDescent="0.3">
      <c r="A18" s="10"/>
      <c r="B18" s="10"/>
      <c r="C18" s="10"/>
      <c r="D18" s="10"/>
      <c r="E18" s="10"/>
      <c r="F18" s="10"/>
      <c r="G18" s="10"/>
    </row>
    <row r="19" spans="1:7" ht="21.75" thickBot="1" x14ac:dyDescent="0.4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75" thickBot="1" x14ac:dyDescent="0.4">
      <c r="A20" s="11" t="s">
        <v>4</v>
      </c>
      <c r="B20" s="12">
        <f>COUNTA(B5:B11)</f>
        <v>7</v>
      </c>
      <c r="C20" s="11"/>
      <c r="D20" s="10"/>
      <c r="E20" s="10"/>
      <c r="F20" s="10"/>
      <c r="G20" s="10"/>
    </row>
    <row r="22" spans="1:7" ht="21.75" thickBot="1" x14ac:dyDescent="0.4">
      <c r="A22" s="11" t="s">
        <v>14</v>
      </c>
      <c r="B22" s="11" t="s">
        <v>18</v>
      </c>
    </row>
    <row r="23" spans="1:7" ht="21.75" thickBot="1" x14ac:dyDescent="0.4">
      <c r="A23" s="11" t="s">
        <v>4</v>
      </c>
      <c r="B23" s="12">
        <v>1</v>
      </c>
    </row>
    <row r="25" spans="1:7" ht="21" x14ac:dyDescent="0.35">
      <c r="A25" s="11"/>
    </row>
    <row r="26" spans="1:7" ht="21" x14ac:dyDescent="0.35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5"/>
  <sheetViews>
    <sheetView showGridLines="0" topLeftCell="A13" workbookViewId="0">
      <selection activeCell="H11" sqref="H11"/>
    </sheetView>
  </sheetViews>
  <sheetFormatPr defaultRowHeight="15" x14ac:dyDescent="0.25"/>
  <cols>
    <col min="1" max="1" width="20" customWidth="1"/>
    <col min="2" max="2" width="31.85546875" customWidth="1"/>
    <col min="3" max="3" width="27.42578125" customWidth="1"/>
  </cols>
  <sheetData>
    <row r="2" spans="1:8" ht="23.25" x14ac:dyDescent="0.35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25" x14ac:dyDescent="0.35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25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25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25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25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25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25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25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25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25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25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25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25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25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25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25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25">
      <c r="A19" s="14"/>
      <c r="B19" s="14"/>
      <c r="C19" s="14"/>
      <c r="D19" s="14"/>
      <c r="E19" s="14"/>
      <c r="F19" s="14"/>
      <c r="G19" s="15"/>
    </row>
    <row r="20" spans="1:7" x14ac:dyDescent="0.25">
      <c r="A20" s="13" t="s">
        <v>41</v>
      </c>
      <c r="B20" s="14"/>
      <c r="C20" s="14"/>
      <c r="D20" s="14"/>
      <c r="E20" s="14"/>
      <c r="F20" s="14"/>
      <c r="G20" s="15"/>
    </row>
    <row r="21" spans="1:7" ht="19.5" thickBot="1" x14ac:dyDescent="0.35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9.5" thickBot="1" x14ac:dyDescent="0.35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.75" x14ac:dyDescent="0.3">
      <c r="A23" s="18"/>
      <c r="B23" s="18"/>
      <c r="C23" s="18"/>
      <c r="D23" s="14"/>
      <c r="E23" s="14"/>
      <c r="F23" s="14"/>
      <c r="G23" s="15"/>
    </row>
    <row r="24" spans="1:7" ht="19.5" thickBot="1" x14ac:dyDescent="0.35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9.5" thickBot="1" x14ac:dyDescent="0.35">
      <c r="A25" s="18" t="s">
        <v>4</v>
      </c>
      <c r="B25" s="25">
        <f>COUNTA(C5:C18)</f>
        <v>12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topLeftCell="A5" workbookViewId="0">
      <selection activeCell="A25" sqref="A25:B25"/>
    </sheetView>
  </sheetViews>
  <sheetFormatPr defaultRowHeight="15" x14ac:dyDescent="0.25"/>
  <cols>
    <col min="1" max="1" width="4.42578125" customWidth="1"/>
    <col min="2" max="2" width="18" customWidth="1"/>
  </cols>
  <sheetData>
    <row r="1" spans="1:7" ht="21" x14ac:dyDescent="0.35">
      <c r="A1" s="3"/>
      <c r="B1" s="11" t="s">
        <v>42</v>
      </c>
      <c r="C1" s="3"/>
      <c r="D1" s="3"/>
    </row>
    <row r="2" spans="1:7" ht="15.75" thickBot="1" x14ac:dyDescent="0.3">
      <c r="A2" s="54"/>
      <c r="B2" s="54"/>
      <c r="C2" s="3"/>
      <c r="D2" s="3"/>
    </row>
    <row r="3" spans="1:7" x14ac:dyDescent="0.25">
      <c r="A3" s="3"/>
      <c r="B3" s="82"/>
      <c r="C3" s="3"/>
      <c r="D3" s="3"/>
    </row>
    <row r="4" spans="1:7" x14ac:dyDescent="0.25">
      <c r="A4" s="3"/>
      <c r="B4" s="83" t="s">
        <v>43</v>
      </c>
      <c r="C4" s="3"/>
      <c r="D4" s="3"/>
    </row>
    <row r="5" spans="1:7" x14ac:dyDescent="0.25">
      <c r="A5" s="3"/>
      <c r="B5" s="83">
        <v>4</v>
      </c>
      <c r="C5" s="3"/>
      <c r="D5" s="3"/>
    </row>
    <row r="6" spans="1:7" x14ac:dyDescent="0.25">
      <c r="A6" s="3"/>
      <c r="B6" s="83"/>
      <c r="C6" s="3"/>
      <c r="D6" s="3"/>
      <c r="F6" t="s">
        <v>109</v>
      </c>
      <c r="G6" t="s">
        <v>109</v>
      </c>
    </row>
    <row r="7" spans="1:7" x14ac:dyDescent="0.25">
      <c r="A7" s="3"/>
      <c r="B7" s="83">
        <v>3</v>
      </c>
      <c r="C7" s="3"/>
      <c r="D7" s="3"/>
    </row>
    <row r="8" spans="1:7" x14ac:dyDescent="0.25">
      <c r="A8" s="3"/>
      <c r="B8" s="83"/>
      <c r="C8" s="3"/>
      <c r="D8" s="3"/>
    </row>
    <row r="9" spans="1:7" x14ac:dyDescent="0.25">
      <c r="A9" s="3"/>
      <c r="B9" s="83" t="s">
        <v>44</v>
      </c>
      <c r="C9" s="3"/>
      <c r="D9" s="3"/>
    </row>
    <row r="10" spans="1:7" x14ac:dyDescent="0.25">
      <c r="A10" s="3"/>
      <c r="B10" s="83"/>
      <c r="C10" s="3"/>
      <c r="D10" s="3"/>
    </row>
    <row r="11" spans="1:7" x14ac:dyDescent="0.25">
      <c r="A11" s="3"/>
      <c r="B11" s="83" t="e">
        <v>#DIV/0!</v>
      </c>
      <c r="C11" s="3"/>
      <c r="D11" s="3"/>
    </row>
    <row r="12" spans="1:7" x14ac:dyDescent="0.25">
      <c r="A12" s="3"/>
      <c r="B12" s="83" t="s">
        <v>45</v>
      </c>
      <c r="C12" s="3"/>
      <c r="D12" s="3"/>
    </row>
    <row r="13" spans="1:7" ht="15.75" thickBot="1" x14ac:dyDescent="0.3">
      <c r="A13" s="3"/>
      <c r="B13" s="84" t="s">
        <v>46</v>
      </c>
      <c r="C13" s="3"/>
      <c r="D13" s="3"/>
    </row>
    <row r="14" spans="1:7" x14ac:dyDescent="0.25">
      <c r="A14" s="54"/>
      <c r="B14" s="54"/>
      <c r="C14" s="3"/>
      <c r="D14" s="3"/>
    </row>
    <row r="15" spans="1:7" ht="18.75" x14ac:dyDescent="0.3">
      <c r="A15" s="7"/>
      <c r="B15" s="8" t="s">
        <v>51</v>
      </c>
      <c r="C15" s="7"/>
      <c r="D15" s="7"/>
      <c r="E15" s="1"/>
      <c r="F15" s="1"/>
      <c r="G15" s="1"/>
    </row>
    <row r="16" spans="1:7" ht="18.75" x14ac:dyDescent="0.3">
      <c r="A16" s="55"/>
      <c r="B16" s="55"/>
      <c r="C16" s="7"/>
      <c r="D16" s="7"/>
      <c r="E16" s="1"/>
      <c r="F16" s="1"/>
      <c r="G16" s="1"/>
    </row>
    <row r="17" spans="1:7" ht="18.75" x14ac:dyDescent="0.3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.75" x14ac:dyDescent="0.3">
      <c r="A18" s="56">
        <f>COUNT(B3:B13)</f>
        <v>2</v>
      </c>
      <c r="B18" s="56"/>
      <c r="C18" s="8"/>
      <c r="D18" s="7"/>
      <c r="E18" s="1"/>
      <c r="F18" s="1"/>
      <c r="G18" s="1"/>
    </row>
    <row r="19" spans="1:7" ht="18.75" x14ac:dyDescent="0.3">
      <c r="A19" s="55"/>
      <c r="B19" s="55"/>
      <c r="C19" s="7"/>
      <c r="D19" s="7"/>
      <c r="E19" s="1"/>
      <c r="F19" s="1"/>
      <c r="G19" s="1"/>
    </row>
    <row r="20" spans="1:7" ht="18.75" x14ac:dyDescent="0.3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.75" x14ac:dyDescent="0.3">
      <c r="A21" s="56">
        <f>COUNTBLANK(B3:B13)</f>
        <v>4</v>
      </c>
      <c r="B21" s="56"/>
      <c r="C21" s="8"/>
      <c r="D21" s="7"/>
      <c r="E21" s="1"/>
      <c r="F21" s="1"/>
      <c r="G21" s="1"/>
    </row>
    <row r="22" spans="1:7" ht="18.75" x14ac:dyDescent="0.3">
      <c r="A22" s="55"/>
      <c r="B22" s="55"/>
      <c r="C22" s="7"/>
      <c r="D22" s="7"/>
      <c r="E22" s="1"/>
      <c r="F22" s="1"/>
      <c r="G22" s="1"/>
    </row>
    <row r="23" spans="1:7" ht="18.75" x14ac:dyDescent="0.3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.75" x14ac:dyDescent="0.3">
      <c r="A24" s="56">
        <v>3</v>
      </c>
      <c r="B24" s="56"/>
      <c r="C24" s="8"/>
      <c r="D24" s="7"/>
      <c r="E24" s="1"/>
      <c r="F24" s="1"/>
      <c r="G24" s="1"/>
    </row>
    <row r="25" spans="1:7" ht="18.75" x14ac:dyDescent="0.3">
      <c r="A25" s="55"/>
      <c r="B25" s="55"/>
      <c r="C25" s="7"/>
      <c r="D25" s="7"/>
      <c r="E25" s="1"/>
      <c r="F25" s="1"/>
      <c r="G25" s="1"/>
    </row>
    <row r="26" spans="1:7" ht="18.75" x14ac:dyDescent="0.3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.75" x14ac:dyDescent="0.3">
      <c r="A27" s="57">
        <f>COUNTA(B3:B13)+COUNTBLANK(B3:B13)</f>
        <v>11</v>
      </c>
      <c r="B27" s="57"/>
      <c r="C27" s="8"/>
      <c r="D27" s="7"/>
      <c r="E27" s="1"/>
      <c r="F27" s="1"/>
      <c r="G27" s="1"/>
    </row>
    <row r="28" spans="1:7" x14ac:dyDescent="0.25">
      <c r="A28" s="54"/>
      <c r="B28" s="54"/>
      <c r="C28" s="3"/>
      <c r="D28" s="3"/>
    </row>
    <row r="29" spans="1:7" x14ac:dyDescent="0.25">
      <c r="A29" s="53"/>
      <c r="B29" s="53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topLeftCell="A7" workbookViewId="0">
      <selection activeCell="E9" sqref="E3:E9"/>
    </sheetView>
  </sheetViews>
  <sheetFormatPr defaultRowHeight="15" x14ac:dyDescent="0.25"/>
  <cols>
    <col min="2" max="2" width="73.7109375" customWidth="1"/>
    <col min="3" max="3" width="19" customWidth="1"/>
    <col min="4" max="4" width="7.7109375" customWidth="1"/>
  </cols>
  <sheetData>
    <row r="1" spans="1:5" x14ac:dyDescent="0.25">
      <c r="A1" s="27"/>
      <c r="B1" s="37" t="s">
        <v>52</v>
      </c>
      <c r="C1" s="28"/>
    </row>
    <row r="2" spans="1:5" x14ac:dyDescent="0.25">
      <c r="A2" s="31">
        <v>1</v>
      </c>
      <c r="B2" s="32" t="s">
        <v>53</v>
      </c>
      <c r="C2" s="26"/>
    </row>
    <row r="3" spans="1:5" x14ac:dyDescent="0.25">
      <c r="A3" s="38"/>
      <c r="B3" s="39" t="s">
        <v>0</v>
      </c>
      <c r="C3" s="35" t="s">
        <v>54</v>
      </c>
    </row>
    <row r="4" spans="1:5" x14ac:dyDescent="0.25">
      <c r="A4" s="31"/>
      <c r="B4" s="32" t="s">
        <v>55</v>
      </c>
      <c r="C4" s="36">
        <v>200</v>
      </c>
      <c r="E4" s="36">
        <v>320</v>
      </c>
    </row>
    <row r="5" spans="1:5" x14ac:dyDescent="0.25">
      <c r="A5" s="31"/>
      <c r="B5" s="32" t="s">
        <v>56</v>
      </c>
      <c r="C5" s="36">
        <v>120</v>
      </c>
      <c r="E5" s="36">
        <v>200</v>
      </c>
    </row>
    <row r="6" spans="1:5" x14ac:dyDescent="0.25">
      <c r="A6" s="31"/>
      <c r="B6" s="32" t="s">
        <v>57</v>
      </c>
      <c r="C6" s="36">
        <v>156</v>
      </c>
      <c r="E6" s="36">
        <v>190</v>
      </c>
    </row>
    <row r="7" spans="1:5" x14ac:dyDescent="0.25">
      <c r="A7" s="31"/>
      <c r="B7" s="32" t="s">
        <v>58</v>
      </c>
      <c r="C7" s="36">
        <v>190</v>
      </c>
      <c r="E7" s="36">
        <v>156</v>
      </c>
    </row>
    <row r="8" spans="1:5" x14ac:dyDescent="0.25">
      <c r="A8" s="31"/>
      <c r="B8" s="32" t="s">
        <v>59</v>
      </c>
      <c r="C8" s="36">
        <v>320</v>
      </c>
      <c r="E8" s="36">
        <v>120</v>
      </c>
    </row>
    <row r="9" spans="1:5" x14ac:dyDescent="0.25">
      <c r="A9" s="31"/>
      <c r="B9" s="32" t="s">
        <v>60</v>
      </c>
      <c r="C9" s="36">
        <v>89</v>
      </c>
      <c r="E9" s="36">
        <v>89</v>
      </c>
    </row>
    <row r="10" spans="1:5" ht="15.75" thickBot="1" x14ac:dyDescent="0.3">
      <c r="A10" s="29"/>
      <c r="B10" s="26"/>
      <c r="C10" s="26"/>
    </row>
    <row r="11" spans="1:5" ht="15.75" thickBot="1" x14ac:dyDescent="0.3">
      <c r="A11" s="31">
        <v>1.1000000000000001</v>
      </c>
      <c r="B11" s="32" t="s">
        <v>61</v>
      </c>
      <c r="C11" s="30">
        <f>MAX(C4:C9)</f>
        <v>320</v>
      </c>
    </row>
    <row r="12" spans="1:5" ht="15.75" thickBot="1" x14ac:dyDescent="0.3">
      <c r="A12" s="31">
        <v>1.2</v>
      </c>
      <c r="B12" s="32" t="s">
        <v>62</v>
      </c>
      <c r="C12" s="30">
        <f>MIN(C4:C9)</f>
        <v>89</v>
      </c>
    </row>
    <row r="13" spans="1:5" ht="15.75" thickBot="1" x14ac:dyDescent="0.3">
      <c r="A13" s="31">
        <v>1.3</v>
      </c>
      <c r="B13" s="32" t="s">
        <v>63</v>
      </c>
      <c r="C13" s="30">
        <f>AVERAGE(C11,C12)</f>
        <v>204.5</v>
      </c>
    </row>
    <row r="14" spans="1:5" ht="15.75" thickBot="1" x14ac:dyDescent="0.3">
      <c r="A14" s="33">
        <v>1.4</v>
      </c>
      <c r="B14" s="34" t="s">
        <v>65</v>
      </c>
      <c r="C14" s="62" t="s">
        <v>108</v>
      </c>
      <c r="D14" s="51"/>
    </row>
    <row r="15" spans="1:5" ht="15.75" thickBot="1" x14ac:dyDescent="0.3">
      <c r="A15" s="33">
        <v>1.5</v>
      </c>
      <c r="B15" s="32" t="s">
        <v>64</v>
      </c>
      <c r="C15" s="30">
        <v>156</v>
      </c>
    </row>
  </sheetData>
  <sortState ref="E4:E9">
    <sortCondition descending="1" ref="E4"/>
  </sortState>
  <conditionalFormatting sqref="C16">
    <cfRule type="top10" dxfId="9" priority="2" rank="4"/>
  </conditionalFormatting>
  <conditionalFormatting sqref="E4:E10">
    <cfRule type="top10" dxfId="8" priority="1" rank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showGridLines="0" topLeftCell="A7" workbookViewId="0">
      <selection activeCell="H21" sqref="H21"/>
    </sheetView>
  </sheetViews>
  <sheetFormatPr defaultRowHeight="15" x14ac:dyDescent="0.25"/>
  <cols>
    <col min="2" max="2" width="13.42578125" customWidth="1"/>
    <col min="3" max="3" width="21.5703125" customWidth="1"/>
    <col min="4" max="4" width="14.7109375" customWidth="1"/>
    <col min="5" max="5" width="21.28515625" customWidth="1"/>
    <col min="7" max="7" width="16.85546875" customWidth="1"/>
    <col min="8" max="8" width="10.7109375" bestFit="1" customWidth="1"/>
  </cols>
  <sheetData>
    <row r="1" spans="1:9" x14ac:dyDescent="0.25">
      <c r="A1" s="15"/>
      <c r="B1" s="66" t="s">
        <v>66</v>
      </c>
      <c r="C1" s="67" t="s">
        <v>67</v>
      </c>
      <c r="D1" s="67" t="s">
        <v>68</v>
      </c>
      <c r="E1" s="68" t="s">
        <v>69</v>
      </c>
      <c r="F1" s="15"/>
      <c r="G1" s="15"/>
      <c r="H1" s="15"/>
      <c r="I1" s="15"/>
    </row>
    <row r="2" spans="1:9" x14ac:dyDescent="0.25">
      <c r="A2" s="15"/>
      <c r="B2" s="64">
        <v>1</v>
      </c>
      <c r="C2" s="43">
        <v>8000</v>
      </c>
      <c r="D2" s="42" t="s">
        <v>70</v>
      </c>
      <c r="E2" s="65">
        <v>10</v>
      </c>
      <c r="F2" s="15"/>
      <c r="G2" s="15"/>
      <c r="H2" s="15"/>
      <c r="I2" s="15"/>
    </row>
    <row r="3" spans="1:9" x14ac:dyDescent="0.25">
      <c r="A3" s="15"/>
      <c r="B3" s="64">
        <v>2</v>
      </c>
      <c r="C3" s="43">
        <v>11000</v>
      </c>
      <c r="D3" s="42" t="s">
        <v>70</v>
      </c>
      <c r="E3" s="65">
        <v>9</v>
      </c>
      <c r="F3" s="15"/>
      <c r="G3" s="15"/>
      <c r="H3" s="15"/>
      <c r="I3" s="15"/>
    </row>
    <row r="4" spans="1:9" x14ac:dyDescent="0.25">
      <c r="A4" s="15"/>
      <c r="B4" s="64">
        <v>3</v>
      </c>
      <c r="C4" s="43">
        <v>6000</v>
      </c>
      <c r="D4" s="42" t="s">
        <v>71</v>
      </c>
      <c r="E4" s="65">
        <v>5</v>
      </c>
      <c r="F4" s="15"/>
      <c r="G4" s="15"/>
      <c r="H4" s="15"/>
      <c r="I4" s="15"/>
    </row>
    <row r="5" spans="1:9" x14ac:dyDescent="0.25">
      <c r="A5" s="15"/>
      <c r="B5" s="64">
        <v>4</v>
      </c>
      <c r="C5" s="43">
        <v>15000</v>
      </c>
      <c r="D5" s="42" t="s">
        <v>70</v>
      </c>
      <c r="E5" s="65">
        <v>10</v>
      </c>
      <c r="F5" s="15"/>
      <c r="G5" s="15"/>
      <c r="H5" s="15"/>
      <c r="I5" s="15"/>
    </row>
    <row r="6" spans="1:9" x14ac:dyDescent="0.25">
      <c r="A6" s="15"/>
      <c r="B6" s="64">
        <v>5</v>
      </c>
      <c r="C6" s="43">
        <v>10000</v>
      </c>
      <c r="D6" s="42" t="s">
        <v>71</v>
      </c>
      <c r="E6" s="65">
        <v>2</v>
      </c>
      <c r="F6" s="15"/>
      <c r="G6" s="15"/>
      <c r="H6" s="15"/>
      <c r="I6" s="15"/>
    </row>
    <row r="7" spans="1:9" x14ac:dyDescent="0.25">
      <c r="A7" s="15"/>
      <c r="B7" s="64">
        <v>6</v>
      </c>
      <c r="C7" s="43">
        <v>15000</v>
      </c>
      <c r="D7" s="42" t="s">
        <v>70</v>
      </c>
      <c r="E7" s="65">
        <v>5</v>
      </c>
      <c r="F7" s="15"/>
      <c r="G7" s="15"/>
      <c r="H7" s="15"/>
      <c r="I7" s="15"/>
    </row>
    <row r="8" spans="1:9" x14ac:dyDescent="0.25">
      <c r="A8" s="15"/>
      <c r="B8" s="64">
        <v>7</v>
      </c>
      <c r="C8" s="43">
        <v>13000</v>
      </c>
      <c r="D8" s="42" t="s">
        <v>70</v>
      </c>
      <c r="E8" s="65">
        <v>999</v>
      </c>
      <c r="F8" s="15"/>
      <c r="G8" s="15"/>
      <c r="H8" s="15"/>
      <c r="I8" s="15"/>
    </row>
    <row r="9" spans="1:9" x14ac:dyDescent="0.25">
      <c r="A9" s="15"/>
      <c r="B9" s="64">
        <v>8</v>
      </c>
      <c r="C9" s="43">
        <v>8000</v>
      </c>
      <c r="D9" s="42" t="s">
        <v>70</v>
      </c>
      <c r="E9" s="65">
        <v>2</v>
      </c>
      <c r="F9" s="15"/>
      <c r="G9" s="15"/>
      <c r="H9" s="15"/>
      <c r="I9" s="15"/>
    </row>
    <row r="10" spans="1:9" x14ac:dyDescent="0.25">
      <c r="A10" s="15"/>
      <c r="B10" s="64">
        <v>9</v>
      </c>
      <c r="C10" s="43">
        <v>11000</v>
      </c>
      <c r="D10" s="42" t="s">
        <v>71</v>
      </c>
      <c r="E10" s="65">
        <v>5</v>
      </c>
      <c r="F10" s="15"/>
      <c r="G10" s="15"/>
      <c r="H10" s="15"/>
      <c r="I10" s="15"/>
    </row>
    <row r="11" spans="1:9" x14ac:dyDescent="0.25">
      <c r="A11" s="15"/>
      <c r="B11" s="69">
        <v>10</v>
      </c>
      <c r="C11" s="70">
        <v>9000</v>
      </c>
      <c r="D11" s="71" t="s">
        <v>70</v>
      </c>
      <c r="E11" s="72">
        <v>6</v>
      </c>
      <c r="F11" s="15"/>
      <c r="G11" s="15"/>
      <c r="H11" s="15"/>
      <c r="I11" s="15"/>
    </row>
    <row r="12" spans="1:9" x14ac:dyDescent="0.25">
      <c r="A12" s="58"/>
      <c r="B12" s="58"/>
      <c r="D12" s="15"/>
      <c r="E12" s="15"/>
      <c r="F12" s="15"/>
      <c r="G12" s="15"/>
      <c r="H12" s="15"/>
      <c r="I12" s="15"/>
    </row>
    <row r="13" spans="1:9" x14ac:dyDescent="0.25">
      <c r="A13" s="58"/>
      <c r="B13" s="58"/>
      <c r="C13" s="15"/>
      <c r="D13" s="15"/>
      <c r="E13" s="15"/>
      <c r="F13" s="15"/>
      <c r="G13" s="15"/>
      <c r="H13" s="15"/>
      <c r="I13" s="15"/>
    </row>
    <row r="14" spans="1:9" ht="18.75" x14ac:dyDescent="0.3">
      <c r="A14" s="19"/>
      <c r="B14" s="40"/>
      <c r="C14" s="19"/>
      <c r="D14" s="19"/>
      <c r="E14" s="19"/>
      <c r="F14" s="19"/>
      <c r="G14" s="19"/>
      <c r="H14" s="19"/>
      <c r="I14" s="15"/>
    </row>
    <row r="15" spans="1:9" ht="18.75" x14ac:dyDescent="0.3">
      <c r="A15" s="19">
        <v>1</v>
      </c>
      <c r="B15" s="19" t="s">
        <v>72</v>
      </c>
      <c r="C15" s="19"/>
      <c r="D15" s="19"/>
      <c r="E15" s="19"/>
      <c r="F15" s="19"/>
      <c r="G15" s="19"/>
      <c r="H15" s="73">
        <f>SUM(C2,C3,C5,C7,C8,C9,C11)</f>
        <v>79000</v>
      </c>
      <c r="I15" s="15"/>
    </row>
    <row r="16" spans="1:9" ht="18.75" x14ac:dyDescent="0.3">
      <c r="A16" s="19">
        <v>2</v>
      </c>
      <c r="B16" s="19" t="s">
        <v>73</v>
      </c>
      <c r="C16" s="19"/>
      <c r="D16" s="19"/>
      <c r="E16" s="19"/>
      <c r="F16" s="19"/>
      <c r="G16" s="19"/>
      <c r="H16" s="63">
        <f>SUM(C4,C6,C10)</f>
        <v>27000</v>
      </c>
      <c r="I16" s="15"/>
    </row>
    <row r="17" spans="1:9" ht="19.5" thickBot="1" x14ac:dyDescent="0.35">
      <c r="A17" s="59"/>
      <c r="B17" s="59"/>
      <c r="C17" s="19"/>
      <c r="D17" s="19"/>
      <c r="E17" s="19"/>
      <c r="F17" s="19"/>
      <c r="G17" s="19"/>
      <c r="H17" s="19"/>
      <c r="I17" s="15"/>
    </row>
    <row r="18" spans="1:9" ht="19.5" thickBot="1" x14ac:dyDescent="0.35">
      <c r="A18" s="19">
        <v>3</v>
      </c>
      <c r="B18" s="19" t="s">
        <v>74</v>
      </c>
      <c r="C18" s="19"/>
      <c r="D18" s="19"/>
      <c r="E18" s="19"/>
      <c r="F18" s="19"/>
      <c r="G18" s="19"/>
      <c r="H18" s="41">
        <f>SUM(E3,E5,E7,E8,E10)</f>
        <v>1028</v>
      </c>
      <c r="I18" s="15"/>
    </row>
    <row r="19" spans="1:9" ht="18.75" x14ac:dyDescent="0.3">
      <c r="A19" s="59"/>
      <c r="B19" s="59"/>
      <c r="C19" s="19"/>
      <c r="D19" s="19"/>
      <c r="E19" s="19"/>
      <c r="F19" s="19"/>
      <c r="G19" s="19"/>
      <c r="H19" s="19"/>
      <c r="I19" s="15"/>
    </row>
    <row r="20" spans="1:9" ht="19.5" thickBot="1" x14ac:dyDescent="0.35">
      <c r="A20" s="19">
        <v>4</v>
      </c>
      <c r="B20" s="19" t="s">
        <v>75</v>
      </c>
      <c r="C20" s="19"/>
      <c r="D20" s="19"/>
      <c r="E20" s="19"/>
      <c r="F20" s="19"/>
      <c r="G20" s="19"/>
      <c r="H20" s="73">
        <f>SUM( C3,C5,C7,C8,C10)</f>
        <v>65000</v>
      </c>
      <c r="I20" s="15"/>
    </row>
    <row r="21" spans="1:9" ht="19.5" thickBot="1" x14ac:dyDescent="0.35">
      <c r="A21" s="19">
        <v>5</v>
      </c>
      <c r="B21" s="19" t="s">
        <v>76</v>
      </c>
      <c r="C21" s="19"/>
      <c r="D21" s="19"/>
      <c r="E21" s="19"/>
      <c r="F21" s="19"/>
      <c r="G21" s="19"/>
      <c r="H21" s="52">
        <f>SUM(C2,C9,C4,C11)</f>
        <v>31000</v>
      </c>
      <c r="I21" s="15"/>
    </row>
    <row r="22" spans="1:9" ht="18.75" x14ac:dyDescent="0.3">
      <c r="A22" s="59"/>
      <c r="B22" s="59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topLeftCell="A15" workbookViewId="0">
      <selection activeCell="C29" sqref="C29"/>
    </sheetView>
  </sheetViews>
  <sheetFormatPr defaultRowHeight="15" x14ac:dyDescent="0.25"/>
  <cols>
    <col min="2" max="2" width="26" customWidth="1"/>
    <col min="3" max="3" width="18" customWidth="1"/>
    <col min="4" max="4" width="19.28515625" customWidth="1"/>
    <col min="5" max="5" width="16.140625" customWidth="1"/>
  </cols>
  <sheetData>
    <row r="1" spans="1:6" x14ac:dyDescent="0.25">
      <c r="A1" s="44"/>
      <c r="B1" s="76" t="s">
        <v>0</v>
      </c>
      <c r="C1" s="77" t="s">
        <v>77</v>
      </c>
      <c r="D1" s="77" t="s">
        <v>78</v>
      </c>
      <c r="E1" s="78" t="s">
        <v>79</v>
      </c>
      <c r="F1" s="44"/>
    </row>
    <row r="2" spans="1:6" x14ac:dyDescent="0.25">
      <c r="A2" s="44"/>
      <c r="B2" s="74" t="s">
        <v>80</v>
      </c>
      <c r="C2" s="46" t="s">
        <v>81</v>
      </c>
      <c r="D2" s="46" t="s">
        <v>82</v>
      </c>
      <c r="E2" s="75">
        <v>28</v>
      </c>
      <c r="F2" s="44"/>
    </row>
    <row r="3" spans="1:6" hidden="1" x14ac:dyDescent="0.25">
      <c r="A3" s="44"/>
      <c r="B3" s="74" t="s">
        <v>83</v>
      </c>
      <c r="C3" s="46" t="s">
        <v>84</v>
      </c>
      <c r="D3" s="46" t="s">
        <v>85</v>
      </c>
      <c r="E3" s="75">
        <v>8</v>
      </c>
      <c r="F3" s="44"/>
    </row>
    <row r="4" spans="1:6" x14ac:dyDescent="0.25">
      <c r="A4" s="44"/>
      <c r="B4" s="74" t="s">
        <v>86</v>
      </c>
      <c r="C4" s="46" t="s">
        <v>87</v>
      </c>
      <c r="D4" s="46" t="s">
        <v>82</v>
      </c>
      <c r="E4" s="75">
        <v>19</v>
      </c>
      <c r="F4" s="44"/>
    </row>
    <row r="5" spans="1:6" hidden="1" x14ac:dyDescent="0.25">
      <c r="A5" s="44"/>
      <c r="B5" s="74" t="s">
        <v>88</v>
      </c>
      <c r="C5" s="46" t="s">
        <v>89</v>
      </c>
      <c r="D5" s="46" t="s">
        <v>90</v>
      </c>
      <c r="E5" s="75">
        <v>2</v>
      </c>
      <c r="F5" s="44"/>
    </row>
    <row r="6" spans="1:6" hidden="1" x14ac:dyDescent="0.25">
      <c r="A6" s="44"/>
      <c r="B6" s="74" t="s">
        <v>91</v>
      </c>
      <c r="C6" s="46" t="s">
        <v>87</v>
      </c>
      <c r="D6" s="46" t="s">
        <v>92</v>
      </c>
      <c r="E6" s="75">
        <v>5</v>
      </c>
      <c r="F6" s="44"/>
    </row>
    <row r="7" spans="1:6" x14ac:dyDescent="0.25">
      <c r="A7" s="44"/>
      <c r="B7" s="74" t="s">
        <v>93</v>
      </c>
      <c r="C7" s="46" t="s">
        <v>84</v>
      </c>
      <c r="D7" s="46" t="s">
        <v>82</v>
      </c>
      <c r="E7" s="75">
        <v>9</v>
      </c>
      <c r="F7" s="44"/>
    </row>
    <row r="8" spans="1:6" hidden="1" x14ac:dyDescent="0.25">
      <c r="A8" s="44"/>
      <c r="B8" s="74" t="s">
        <v>94</v>
      </c>
      <c r="C8" s="46" t="s">
        <v>87</v>
      </c>
      <c r="D8" s="46" t="s">
        <v>95</v>
      </c>
      <c r="E8" s="75">
        <v>18</v>
      </c>
      <c r="F8" s="44"/>
    </row>
    <row r="9" spans="1:6" x14ac:dyDescent="0.25">
      <c r="A9" s="44"/>
      <c r="B9" s="74" t="s">
        <v>96</v>
      </c>
      <c r="C9" s="46" t="s">
        <v>81</v>
      </c>
      <c r="D9" s="46" t="s">
        <v>82</v>
      </c>
      <c r="E9" s="75">
        <v>11</v>
      </c>
      <c r="F9" s="44"/>
    </row>
    <row r="10" spans="1:6" hidden="1" x14ac:dyDescent="0.25">
      <c r="A10" s="44"/>
      <c r="B10" s="74" t="s">
        <v>97</v>
      </c>
      <c r="C10" s="46" t="s">
        <v>89</v>
      </c>
      <c r="D10" s="46" t="s">
        <v>98</v>
      </c>
      <c r="E10" s="75">
        <v>3</v>
      </c>
      <c r="F10" s="44"/>
    </row>
    <row r="11" spans="1:6" hidden="1" x14ac:dyDescent="0.25">
      <c r="A11" s="44"/>
      <c r="B11" s="79" t="s">
        <v>99</v>
      </c>
      <c r="C11" s="80" t="s">
        <v>84</v>
      </c>
      <c r="D11" s="80" t="s">
        <v>100</v>
      </c>
      <c r="E11" s="81">
        <v>15</v>
      </c>
      <c r="F11" s="44"/>
    </row>
    <row r="12" spans="1:6" x14ac:dyDescent="0.25">
      <c r="A12" s="61"/>
      <c r="B12" s="61"/>
      <c r="C12" s="44"/>
      <c r="D12" s="44"/>
      <c r="E12" s="44"/>
      <c r="F12" s="44"/>
    </row>
    <row r="13" spans="1:6" ht="15.75" x14ac:dyDescent="0.25">
      <c r="A13" s="17"/>
      <c r="B13" s="47" t="s">
        <v>101</v>
      </c>
      <c r="C13" s="17"/>
      <c r="D13" s="17"/>
      <c r="E13" s="45"/>
      <c r="F13" s="44"/>
    </row>
    <row r="14" spans="1:6" ht="15.75" x14ac:dyDescent="0.25">
      <c r="A14" s="60"/>
      <c r="B14" s="60"/>
      <c r="C14" s="17"/>
      <c r="D14" s="17"/>
      <c r="E14" s="44"/>
      <c r="F14" s="44"/>
    </row>
    <row r="15" spans="1:6" ht="15.75" x14ac:dyDescent="0.25">
      <c r="A15" s="17">
        <v>1</v>
      </c>
      <c r="B15" s="48" t="s">
        <v>102</v>
      </c>
      <c r="C15" s="17"/>
      <c r="D15" s="17"/>
      <c r="E15" s="44"/>
      <c r="F15" s="44"/>
    </row>
    <row r="16" spans="1:6" ht="15.75" x14ac:dyDescent="0.25">
      <c r="A16" s="60"/>
      <c r="B16" s="60"/>
      <c r="C16" s="49" t="s">
        <v>103</v>
      </c>
      <c r="D16" s="49"/>
      <c r="E16" s="44"/>
      <c r="F16" s="44"/>
    </row>
    <row r="17" spans="1:6" ht="15.75" x14ac:dyDescent="0.25">
      <c r="A17" s="17"/>
      <c r="B17" s="16" t="s">
        <v>104</v>
      </c>
      <c r="C17" s="50">
        <f>SUM(E2,E4,E7,E9)</f>
        <v>67</v>
      </c>
      <c r="D17" s="17"/>
      <c r="E17" s="44"/>
      <c r="F17" s="44"/>
    </row>
    <row r="18" spans="1:6" ht="15.75" x14ac:dyDescent="0.25">
      <c r="A18" s="60"/>
      <c r="B18" s="60"/>
      <c r="C18" s="17"/>
      <c r="D18" s="17"/>
      <c r="E18" s="44"/>
      <c r="F18" s="44"/>
    </row>
    <row r="19" spans="1:6" ht="15.75" x14ac:dyDescent="0.25">
      <c r="A19" s="17">
        <v>2</v>
      </c>
      <c r="B19" s="48" t="s">
        <v>105</v>
      </c>
      <c r="C19" s="17"/>
      <c r="D19" s="17"/>
      <c r="E19" s="44"/>
      <c r="F19" s="44"/>
    </row>
    <row r="20" spans="1:6" ht="15.75" x14ac:dyDescent="0.25">
      <c r="A20" s="60"/>
      <c r="B20" s="60"/>
      <c r="C20" s="49" t="s">
        <v>103</v>
      </c>
      <c r="D20" s="49"/>
      <c r="E20" s="44"/>
      <c r="F20" s="44"/>
    </row>
    <row r="21" spans="1:6" ht="15.75" x14ac:dyDescent="0.25">
      <c r="A21" s="17"/>
      <c r="B21" s="16" t="s">
        <v>104</v>
      </c>
      <c r="C21" s="50">
        <f>SUM( E10,E5)</f>
        <v>5</v>
      </c>
      <c r="D21" s="17"/>
      <c r="E21" s="44"/>
      <c r="F21" s="44"/>
    </row>
    <row r="22" spans="1:6" ht="15.75" x14ac:dyDescent="0.25">
      <c r="A22" s="60"/>
      <c r="B22" s="60"/>
      <c r="C22" s="17"/>
      <c r="D22" s="17"/>
      <c r="E22" s="44"/>
      <c r="F22" s="44"/>
    </row>
    <row r="23" spans="1:6" ht="15.75" x14ac:dyDescent="0.25">
      <c r="A23" s="17">
        <v>3</v>
      </c>
      <c r="B23" s="48" t="s">
        <v>106</v>
      </c>
      <c r="C23" s="17"/>
      <c r="D23" s="17"/>
      <c r="E23" s="44"/>
      <c r="F23" s="44"/>
    </row>
    <row r="24" spans="1:6" ht="15.75" x14ac:dyDescent="0.25">
      <c r="A24" s="60"/>
      <c r="B24" s="60"/>
      <c r="C24" s="49" t="s">
        <v>103</v>
      </c>
      <c r="D24" s="49"/>
      <c r="E24" s="44"/>
      <c r="F24" s="44"/>
    </row>
    <row r="25" spans="1:6" ht="15.75" x14ac:dyDescent="0.25">
      <c r="A25" s="17"/>
      <c r="B25" s="16" t="s">
        <v>104</v>
      </c>
      <c r="C25" s="50">
        <f>SUM(E2,E3,E4,E7,E9)</f>
        <v>75</v>
      </c>
      <c r="D25" s="17"/>
      <c r="E25" s="44"/>
      <c r="F25" s="44"/>
    </row>
    <row r="26" spans="1:6" x14ac:dyDescent="0.25">
      <c r="A26" s="61"/>
      <c r="B26" s="61"/>
      <c r="C26" s="44"/>
      <c r="D26" s="44"/>
      <c r="E26" s="44"/>
      <c r="F26" s="44"/>
    </row>
    <row r="27" spans="1:6" ht="15.75" x14ac:dyDescent="0.25">
      <c r="A27" s="17">
        <v>4</v>
      </c>
      <c r="B27" s="48" t="s">
        <v>107</v>
      </c>
      <c r="C27" s="17"/>
      <c r="D27" s="17"/>
    </row>
    <row r="28" spans="1:6" ht="15.75" x14ac:dyDescent="0.25">
      <c r="A28" s="60"/>
      <c r="B28" s="60"/>
      <c r="C28" s="49" t="s">
        <v>103</v>
      </c>
      <c r="D28" s="49"/>
    </row>
    <row r="29" spans="1:6" ht="15.75" x14ac:dyDescent="0.25">
      <c r="A29" s="17"/>
      <c r="B29" s="16" t="s">
        <v>104</v>
      </c>
      <c r="C29" s="50">
        <f>COUNTA(B9,B7,B4,B2)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DELL</cp:lastModifiedBy>
  <dcterms:created xsi:type="dcterms:W3CDTF">2023-02-28T05:02:53Z</dcterms:created>
  <dcterms:modified xsi:type="dcterms:W3CDTF">2025-01-02T14:01:56Z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