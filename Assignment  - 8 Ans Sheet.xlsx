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E:\Top mentor\ASS3\"/>
    </mc:Choice>
  </mc:AlternateContent>
  <xr:revisionPtr revIDLastSave="0" documentId="13_ncr:1_{8EECC08D-D8FC-4250-8A7D-4EC448A9E0F9}" xr6:coauthVersionLast="36" xr6:coauthVersionMax="47" xr10:uidLastSave="{00000000-0000-0000-0000-000000000000}"/>
  <bookViews>
    <workbookView xWindow="0" yWindow="0" windowWidth="20490" windowHeight="7545" activeTab="1" xr2:uid="{00000000-000D-0000-FFFF-FFFF00000000}"/>
  </bookViews>
  <sheets>
    <sheet name="Instructions" sheetId="3" r:id="rId1"/>
    <sheet name="HR Data" sheetId="1" r:id="rId2"/>
  </sheets>
  <definedNames>
    <definedName name="_xlnm._FilterDatabase" localSheetId="1" hidden="1">'HR Data'!$A$4:$I$24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" i="1"/>
  <c r="F37" i="1" l="1"/>
  <c r="F38" i="1"/>
  <c r="F31" i="1"/>
  <c r="F32" i="1"/>
  <c r="F33" i="1"/>
  <c r="F34" i="1"/>
  <c r="F35" i="1"/>
  <c r="F36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5" i="1"/>
  <c r="F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4" i="1"/>
</calcChain>
</file>

<file path=xl/sharedStrings.xml><?xml version="1.0" encoding="utf-8"?>
<sst xmlns="http://schemas.openxmlformats.org/spreadsheetml/2006/main" count="285" uniqueCount="187">
  <si>
    <t>Emp ID</t>
  </si>
  <si>
    <t>Full Name</t>
  </si>
  <si>
    <t>Email</t>
  </si>
  <si>
    <t>Date of Hire</t>
  </si>
  <si>
    <t>Department</t>
  </si>
  <si>
    <t>Location</t>
  </si>
  <si>
    <t>DECKER</t>
  </si>
  <si>
    <t>BARRY</t>
  </si>
  <si>
    <t>COLE</t>
  </si>
  <si>
    <t>Daniel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</si>
  <si>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</si>
  <si>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</si>
  <si>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</si>
  <si>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</si>
  <si>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</si>
  <si>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</si>
  <si>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</si>
  <si>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</si>
  <si>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</si>
  <si>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</si>
  <si>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</si>
  <si>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</si>
  <si>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</si>
  <si>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</si>
  <si>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</si>
  <si>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</si>
  <si>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</si>
  <si>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</si>
  <si>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</si>
  <si>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</si>
  <si>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</si>
  <si>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</si>
  <si>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</si>
  <si>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</si>
  <si>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</si>
  <si>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</si>
  <si>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</si>
  <si>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</si>
  <si>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Fred</t>
  </si>
  <si>
    <t>BINGA</t>
  </si>
  <si>
    <t>DESIATO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</si>
  <si>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</si>
  <si>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</si>
  <si>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</si>
  <si>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</si>
  <si>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</si>
  <si>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</si>
  <si>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</si>
  <si>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</si>
  <si>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</si>
  <si>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</si>
  <si>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</si>
  <si>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</si>
  <si>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</si>
  <si>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</si>
  <si>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</si>
  <si>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</si>
  <si>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</si>
  <si>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</si>
  <si>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</si>
  <si>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</si>
  <si>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</si>
  <si>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</si>
  <si>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Nicholas</t>
  </si>
  <si>
    <t>Fernandes</t>
  </si>
  <si>
    <t>Radhya</t>
  </si>
  <si>
    <t>Staples</t>
  </si>
  <si>
    <t>Preston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</si>
  <si>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</si>
  <si>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</si>
  <si>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</si>
  <si>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</si>
  <si>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</si>
  <si>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</si>
  <si>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</si>
  <si>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</si>
  <si>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</si>
  <si>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</si>
  <si>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Uma</t>
  </si>
  <si>
    <t>CHAUDRI</t>
  </si>
  <si>
    <t>Wing</t>
  </si>
  <si>
    <t>ZenCo HR Database</t>
  </si>
  <si>
    <t>Bacata</t>
  </si>
  <si>
    <t>02-West-2635 </t>
  </si>
  <si>
    <t>02-West-2018 </t>
  </si>
  <si>
    <t>02-NorthEast-2347 </t>
  </si>
  <si>
    <t>03-West-2764 </t>
  </si>
  <si>
    <t>03-East-2318 </t>
  </si>
  <si>
    <t>02-East-2694 </t>
  </si>
  <si>
    <t>02-West-2699 </t>
  </si>
  <si>
    <t>01-East-2321 </t>
  </si>
  <si>
    <t>03-West-2432 </t>
  </si>
  <si>
    <t>02-West-2962 </t>
  </si>
  <si>
    <t>01-West-2425 </t>
  </si>
  <si>
    <t>03-West-2796 </t>
  </si>
  <si>
    <t>03-West-2601 </t>
  </si>
  <si>
    <t>02-NorthEast-2414 </t>
  </si>
  <si>
    <t>02-West-2537 </t>
  </si>
  <si>
    <t>02-West-2286 </t>
  </si>
  <si>
    <t>01-East-2358 </t>
  </si>
  <si>
    <t>03-West-2082 </t>
  </si>
  <si>
    <t>03-NorthEast-2482 </t>
  </si>
  <si>
    <t>02-East-2372 </t>
  </si>
  <si>
    <t>03-East-2392 </t>
  </si>
  <si>
    <t>02-West-2279 </t>
  </si>
  <si>
    <t>02-East-2639 </t>
  </si>
  <si>
    <t>02-East-2284 </t>
  </si>
  <si>
    <t>02-East-2910 </t>
  </si>
  <si>
    <t>02-NorthEast-2294 </t>
  </si>
  <si>
    <t>03-West-2765 </t>
  </si>
  <si>
    <t>02-East-2260 </t>
  </si>
  <si>
    <t>02-East-2578 </t>
  </si>
  <si>
    <t>02-East-2654 </t>
  </si>
  <si>
    <t>01-West-2783 </t>
  </si>
  <si>
    <t>02-East-2793 </t>
  </si>
  <si>
    <t>02-West-2589 _x001F_</t>
  </si>
  <si>
    <t>03-East-2134 _x001F_</t>
  </si>
  <si>
    <t>01-East-2086 _x001F_</t>
  </si>
  <si>
    <t>Instructions</t>
  </si>
  <si>
    <t>1)</t>
  </si>
  <si>
    <t>b)</t>
  </si>
  <si>
    <t>2)</t>
  </si>
  <si>
    <t>Floor No.</t>
  </si>
  <si>
    <t>Last Name</t>
  </si>
  <si>
    <t>First Name</t>
  </si>
  <si>
    <t>Full/Part Time</t>
  </si>
  <si>
    <t>F</t>
  </si>
  <si>
    <t>P</t>
  </si>
  <si>
    <t>Emp No.</t>
  </si>
  <si>
    <t>5a)</t>
  </si>
  <si>
    <t>6a)</t>
  </si>
  <si>
    <t>3a)</t>
  </si>
  <si>
    <t>4a)</t>
  </si>
  <si>
    <t>You will notice that instead of getting four numbers you only got 3 or in some cases 2, adjust the formula so that you get the 4 digit extension code in each case.</t>
  </si>
  <si>
    <r>
      <t xml:space="preserve">In </t>
    </r>
    <r>
      <rPr>
        <b/>
        <sz val="11"/>
        <color theme="1"/>
        <rFont val="Calibri"/>
        <family val="2"/>
        <scheme val="minor"/>
      </rPr>
      <t>C4</t>
    </r>
    <r>
      <rPr>
        <sz val="11"/>
        <color theme="1"/>
        <rFont val="Calibri"/>
        <family val="2"/>
        <scheme val="minor"/>
      </rPr>
      <t xml:space="preserve">, in the HR Data sheet join the data in </t>
    </r>
    <r>
      <rPr>
        <b/>
        <sz val="11"/>
        <color theme="1"/>
        <rFont val="Calibri"/>
        <family val="2"/>
        <scheme val="minor"/>
      </rPr>
      <t>A4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B4</t>
    </r>
    <r>
      <rPr>
        <sz val="11"/>
        <color theme="1"/>
        <rFont val="Calibri"/>
        <family val="2"/>
        <scheme val="minor"/>
      </rPr>
      <t xml:space="preserve"> to create the employee ID </t>
    </r>
    <r>
      <rPr>
        <b/>
        <sz val="11"/>
        <color theme="1"/>
        <rFont val="Calibri"/>
        <family val="2"/>
        <scheme val="minor"/>
      </rPr>
      <t>F1180</t>
    </r>
    <r>
      <rPr>
        <sz val="11"/>
        <color theme="1"/>
        <rFont val="Calibri"/>
        <family val="2"/>
        <scheme val="minor"/>
      </rPr>
      <t>. Copy the formula down for the rest of the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</si>
  <si>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>, generate the full name for each staff member by joining the first name, a space and the surname.</t>
    </r>
  </si>
  <si>
    <r>
      <t xml:space="preserve">Adjust the formula 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 xml:space="preserve"> so that all instances of </t>
    </r>
    <r>
      <rPr>
        <b/>
        <sz val="11"/>
        <color theme="1"/>
        <rFont val="Calibri"/>
        <family val="2"/>
        <scheme val="minor"/>
      </rPr>
      <t>NorthEast</t>
    </r>
    <r>
      <rPr>
        <sz val="11"/>
        <color theme="1"/>
        <rFont val="Calibri"/>
        <family val="2"/>
        <scheme val="minor"/>
      </rPr>
      <t xml:space="preserve"> are replaced with just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and copy down again.</t>
    </r>
  </si>
  <si>
    <r>
      <t xml:space="preserve">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>, generate an email address by joining  the first letter of the first name, the surname and "@zenco.com" to get Sbacata@zenco.com.</t>
    </r>
  </si>
  <si>
    <r>
      <t xml:space="preserve">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>, extract the text between the two dashes (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>) in Location then copy down to make sure it works for all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</si>
  <si>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M4</t>
    </r>
    <r>
      <rPr>
        <sz val="11"/>
        <color theme="1"/>
        <rFont val="Calibri"/>
        <family val="2"/>
        <scheme val="minor"/>
      </rPr>
      <t xml:space="preserve">, extract the last 4 characters from the </t>
    </r>
    <r>
      <rPr>
        <b/>
        <sz val="11"/>
        <color theme="1"/>
        <rFont val="Calibri"/>
        <family val="2"/>
        <scheme val="minor"/>
      </rPr>
      <t>Location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</si>
  <si>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theme="1"/>
        <rFont val="Calibri"/>
        <family val="2"/>
        <scheme val="minor"/>
      </rPr>
      <t>K4</t>
    </r>
    <r>
      <rPr>
        <sz val="11"/>
        <color theme="1"/>
        <rFont val="Calibri"/>
        <family val="2"/>
        <scheme val="minor"/>
      </rPr>
      <t xml:space="preserve">, extract just the floor number from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 (first 2 numbers) and then copy it down.</t>
    </r>
  </si>
  <si>
    <r>
      <t xml:space="preserve">Add another function to the calculation 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 xml:space="preserve"> so that all the names show in Proper case and then copy the calculation down.</t>
    </r>
  </si>
  <si>
    <r>
      <t xml:space="preserve">Adjust the calculation 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 xml:space="preserve"> so that the email is shown in all lower case and copy it down.</t>
    </r>
  </si>
  <si>
    <r>
      <t>The</t>
    </r>
    <r>
      <rPr>
        <b/>
        <sz val="11"/>
        <color theme="1"/>
        <rFont val="Calibri"/>
        <family val="2"/>
        <scheme val="minor"/>
      </rPr>
      <t xml:space="preserve"> finished shee</t>
    </r>
    <r>
      <rPr>
        <sz val="11"/>
        <color theme="1"/>
        <rFont val="Calibri"/>
        <family val="2"/>
        <scheme val="minor"/>
      </rPr>
      <t>t should look like this:</t>
    </r>
  </si>
  <si>
    <t>Practice Challenge</t>
  </si>
  <si>
    <t>Excel Fundamentals for Data Analysis</t>
  </si>
  <si>
    <t>Excel Skills for Data Analytics</t>
  </si>
  <si>
    <r>
      <t xml:space="preserve">All the following instructions are to be carried out in the </t>
    </r>
    <r>
      <rPr>
        <b/>
        <sz val="11"/>
        <color theme="1"/>
        <rFont val="Calibri"/>
        <family val="2"/>
        <scheme val="minor"/>
      </rPr>
      <t>HR Data</t>
    </r>
    <r>
      <rPr>
        <sz val="11"/>
        <color theme="1"/>
        <rFont val="Calibri"/>
        <family val="2"/>
        <scheme val="minor"/>
      </rPr>
      <t xml:space="preserve"> sheet. </t>
    </r>
  </si>
  <si>
    <t>West</t>
  </si>
  <si>
    <t>2635 </t>
  </si>
  <si>
    <t>2018 </t>
  </si>
  <si>
    <t>NorthEast</t>
  </si>
  <si>
    <t>2347 </t>
  </si>
  <si>
    <t>2764 </t>
  </si>
  <si>
    <t>2589 _x001F_</t>
  </si>
  <si>
    <t>East</t>
  </si>
  <si>
    <t>2318 </t>
  </si>
  <si>
    <t>2694 </t>
  </si>
  <si>
    <t>2699 </t>
  </si>
  <si>
    <t>2321 </t>
  </si>
  <si>
    <t>2432 </t>
  </si>
  <si>
    <t>2962 </t>
  </si>
  <si>
    <t>2134 _x001F_</t>
  </si>
  <si>
    <t>2425 </t>
  </si>
  <si>
    <t>2796 </t>
  </si>
  <si>
    <t>2601 </t>
  </si>
  <si>
    <t>2414 </t>
  </si>
  <si>
    <t>2537 </t>
  </si>
  <si>
    <t>2286 </t>
  </si>
  <si>
    <t>2086 _x001F_</t>
  </si>
  <si>
    <t>2358 </t>
  </si>
  <si>
    <t>2082 </t>
  </si>
  <si>
    <t>2482 </t>
  </si>
  <si>
    <t>2372 </t>
  </si>
  <si>
    <t>2392 </t>
  </si>
  <si>
    <t>2279 </t>
  </si>
  <si>
    <t>2639 </t>
  </si>
  <si>
    <t>2284 </t>
  </si>
  <si>
    <t>2910 </t>
  </si>
  <si>
    <t>2294 </t>
  </si>
  <si>
    <t>2765 </t>
  </si>
  <si>
    <t>2260 </t>
  </si>
  <si>
    <t>2578 </t>
  </si>
  <si>
    <t>2654 </t>
  </si>
  <si>
    <t>2783 </t>
  </si>
  <si>
    <t>2793 </t>
  </si>
  <si>
    <t>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</si>
</sst>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left" wrapText="1"/>
    </xf>
    <xf numFmtId="0" fontId="1" fillId="0" borderId="0" xfId="1"/>
    <xf numFmtId="0" fontId="4" fillId="2" borderId="0" xfId="2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1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12" fillId="2" borderId="0" xfId="2" applyFont="1" applyBorder="1" applyAlignment="1">
      <alignment horizontal="left" wrapText="1"/>
    </xf>
    <xf numFmtId="0" fontId="9" fillId="0" borderId="0" xfId="0" applyFont="1" applyAlignment="1"/>
    <xf numFmtId="0" fontId="8" fillId="0" borderId="0" xfId="0" applyFont="1" applyAlignment="1"/>
    <xf numFmtId="0" fontId="10" fillId="3" borderId="0" xfId="0" applyFont="1" applyFill="1" applyAlignment="1">
      <alignment horizontal="center" vertical="center"/>
    </xf>
  </cellXfs>
  <cellStyles count="3"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123030</xdr:rowOff>
    </xdr:from>
    <xdr:to>
      <xdr:col>14</xdr:col>
      <xdr:colOff>1384694</xdr:colOff>
      <xdr:row>57</xdr:row>
      <xdr:rowOff>2324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D7111B-A1BF-4904-995F-9573113F0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5044280"/>
          <a:ext cx="10111976" cy="5356169"/>
        </a:xfrm>
        <a:prstGeom prst="rect">
          <a:avLst/>
        </a:prstGeom>
      </xdr:spPr>
    </xdr:pic>
    <xdr:clientData/>
  </xdr:twoCellAnchor>
  <xdr:twoCellAnchor editAs="oneCell">
    <xdr:from>
      <xdr:col>4</xdr:col>
      <xdr:colOff>63501</xdr:colOff>
      <xdr:row>0</xdr:row>
      <xdr:rowOff>55562</xdr:rowOff>
    </xdr:from>
    <xdr:to>
      <xdr:col>7</xdr:col>
      <xdr:colOff>87312</xdr:colOff>
      <xdr:row>7</xdr:row>
      <xdr:rowOff>118602</xdr:rowOff>
    </xdr:to>
    <xdr:pic>
      <xdr:nvPicPr>
        <xdr:cNvPr id="3" name="Picture 2" descr="TopMentor | LinkedIn">
          <a:extLst>
            <a:ext uri="{FF2B5EF4-FFF2-40B4-BE49-F238E27FC236}">
              <a16:creationId xmlns:a16="http://schemas.microsoft.com/office/drawing/2014/main" id="{2DBE90EA-89D4-9B3E-BE92-1ED218B9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189" y="55562"/>
          <a:ext cx="1785936" cy="179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OC">
  <a:themeElements>
    <a:clrScheme name="BOC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35D1-C836-4F64-B2E2-7578EE4D7B3D}">
  <dimension ref="B2:P27"/>
  <sheetViews>
    <sheetView showGridLines="0" topLeftCell="A15" zoomScale="120" zoomScaleNormal="120" workbookViewId="0">
      <selection activeCell="Q21" sqref="Q21"/>
    </sheetView>
  </sheetViews>
  <sheetFormatPr defaultColWidth="8.85546875" defaultRowHeight="15" x14ac:dyDescent="0.25"/>
  <cols>
    <col min="1" max="1" width="5.28515625" customWidth="1"/>
    <col min="2" max="2" width="4.42578125" style="7" customWidth="1"/>
    <col min="8" max="8" width="13.140625" customWidth="1"/>
    <col min="9" max="9" width="12.5703125" customWidth="1"/>
    <col min="15" max="15" width="23.42578125" customWidth="1"/>
    <col min="16" max="16" width="7.42578125" customWidth="1"/>
  </cols>
  <sheetData>
    <row r="2" spans="2:16" ht="31.5" customHeight="1" x14ac:dyDescent="0.5">
      <c r="I2" s="13" t="s">
        <v>146</v>
      </c>
      <c r="J2" s="13"/>
      <c r="K2" s="13"/>
      <c r="L2" s="13"/>
      <c r="M2" s="13"/>
      <c r="N2" s="13"/>
      <c r="O2" s="13"/>
      <c r="P2" s="13"/>
    </row>
    <row r="3" spans="2:16" ht="21" customHeight="1" x14ac:dyDescent="0.35">
      <c r="I3" s="14" t="s">
        <v>145</v>
      </c>
      <c r="J3" s="14"/>
      <c r="K3" s="14"/>
      <c r="L3" s="14"/>
      <c r="M3" s="14"/>
      <c r="N3" s="14"/>
      <c r="O3" s="14"/>
      <c r="P3" s="14"/>
    </row>
    <row r="4" spans="2:16" ht="17.649999999999999" customHeight="1" x14ac:dyDescent="0.25"/>
    <row r="5" spans="2:16" ht="21.4" customHeight="1" x14ac:dyDescent="0.25">
      <c r="I5" s="15" t="s">
        <v>144</v>
      </c>
      <c r="J5" s="15"/>
      <c r="K5" s="15"/>
      <c r="L5" s="15"/>
      <c r="M5" s="15"/>
      <c r="N5" s="15"/>
      <c r="O5" s="15"/>
      <c r="P5" s="15"/>
    </row>
    <row r="8" spans="2:16" ht="19.5" thickBot="1" x14ac:dyDescent="0.35">
      <c r="B8" s="11" t="s">
        <v>118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x14ac:dyDescent="0.25">
      <c r="B9" t="s">
        <v>147</v>
      </c>
    </row>
    <row r="10" spans="2:16" ht="8.25" customHeight="1" x14ac:dyDescent="0.25"/>
    <row r="11" spans="2:16" x14ac:dyDescent="0.25">
      <c r="B11" s="7" t="s">
        <v>119</v>
      </c>
      <c r="C11" t="s">
        <v>134</v>
      </c>
    </row>
    <row r="12" spans="2:16" ht="8.25" customHeight="1" x14ac:dyDescent="0.25"/>
    <row r="13" spans="2:16" x14ac:dyDescent="0.25">
      <c r="B13" s="7" t="s">
        <v>121</v>
      </c>
      <c r="C13" t="s">
        <v>140</v>
      </c>
    </row>
    <row r="14" spans="2:16" ht="8.25" customHeight="1" x14ac:dyDescent="0.25"/>
    <row r="15" spans="2:16" x14ac:dyDescent="0.25">
      <c r="B15" s="7" t="s">
        <v>131</v>
      </c>
      <c r="C15" t="s">
        <v>135</v>
      </c>
    </row>
    <row r="16" spans="2:16" x14ac:dyDescent="0.25">
      <c r="B16" s="7" t="s">
        <v>120</v>
      </c>
      <c r="C16" t="s">
        <v>141</v>
      </c>
    </row>
    <row r="17" spans="2:16" ht="8.25" customHeight="1" x14ac:dyDescent="0.25"/>
    <row r="18" spans="2:16" x14ac:dyDescent="0.25">
      <c r="B18" s="7" t="s">
        <v>132</v>
      </c>
      <c r="C18" t="s">
        <v>137</v>
      </c>
      <c r="P18" s="8"/>
    </row>
    <row r="19" spans="2:16" x14ac:dyDescent="0.25">
      <c r="B19" s="7" t="s">
        <v>120</v>
      </c>
      <c r="C19" t="s">
        <v>142</v>
      </c>
    </row>
    <row r="20" spans="2:16" ht="8.25" customHeight="1" x14ac:dyDescent="0.25"/>
    <row r="21" spans="2:16" x14ac:dyDescent="0.25">
      <c r="B21" s="7" t="s">
        <v>129</v>
      </c>
      <c r="C21" t="s">
        <v>138</v>
      </c>
      <c r="P21" s="8"/>
    </row>
    <row r="22" spans="2:16" x14ac:dyDescent="0.25">
      <c r="B22" s="7" t="s">
        <v>120</v>
      </c>
      <c r="C22" t="s">
        <v>136</v>
      </c>
    </row>
    <row r="23" spans="2:16" ht="8.25" customHeight="1" x14ac:dyDescent="0.25"/>
    <row r="24" spans="2:16" x14ac:dyDescent="0.25">
      <c r="B24" s="7" t="s">
        <v>130</v>
      </c>
      <c r="C24" t="s">
        <v>139</v>
      </c>
    </row>
    <row r="25" spans="2:16" x14ac:dyDescent="0.25">
      <c r="B25" s="7" t="s">
        <v>120</v>
      </c>
      <c r="C25" t="s">
        <v>133</v>
      </c>
      <c r="P25" s="8"/>
    </row>
    <row r="27" spans="2:16" x14ac:dyDescent="0.25">
      <c r="B27" s="10" t="s">
        <v>143</v>
      </c>
    </row>
  </sheetData>
  <mergeCells count="1">
    <mergeCell ref="I5:P5"/>
  </mergeCells>
  <dataValidations count="3">
    <dataValidation allowBlank="1" showInputMessage="1" showErrorMessage="1" promptTitle="Hint:" prompt="You will need to use a LEFT function as well as a CONCATENATE or &amp;." sqref="P18" xr:uid="{1B82BFE0-3A03-46B5-80F3-AED050C99618}"/>
    <dataValidation allowBlank="1" showInputMessage="1" showErrorMessage="1" promptTitle="Hint:" prompt="There are extra characters at the end of the location data. Try finding out what they are and then use CLEAN, UNICHAR and SUBSTITUTE to remove them." sqref="P25" xr:uid="{061A439B-B230-4B2F-B263-DE3D87D93714}"/>
    <dataValidation allowBlank="1" showInputMessage="1" showErrorMessage="1" promptTitle="Hint:" prompt="You will need to use a MID and a FIND." sqref="P21" xr:uid="{6E0AF74D-7A94-4F91-98F3-2D44927E44D9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topLeftCell="C1" zoomScaleNormal="100" workbookViewId="0">
      <selection activeCell="G4" sqref="G4"/>
    </sheetView>
  </sheetViews>
  <sheetFormatPr defaultColWidth="8.85546875" defaultRowHeight="15" x14ac:dyDescent="0.25"/>
  <cols>
    <col min="1" max="1" width="8.7109375" style="10" customWidth="1"/>
    <col min="2" max="2" width="13" bestFit="1" customWidth="1"/>
    <col min="3" max="3" width="14.5703125" customWidth="1"/>
    <col min="4" max="5" width="13" customWidth="1"/>
    <col min="6" max="6" width="18.85546875" customWidth="1"/>
    <col min="7" max="7" width="28.85546875" customWidth="1"/>
    <col min="8" max="8" width="14" customWidth="1"/>
    <col min="9" max="9" width="17.7109375" customWidth="1"/>
    <col min="10" max="10" width="18.7109375" customWidth="1"/>
    <col min="11" max="11" width="19" customWidth="1"/>
    <col min="12" max="12" width="10.7109375" customWidth="1"/>
    <col min="13" max="13" width="12.7109375" customWidth="1"/>
    <col min="14" max="14" width="11.28515625" bestFit="1" customWidth="1"/>
  </cols>
  <sheetData>
    <row r="1" spans="1:13" ht="23.25" x14ac:dyDescent="0.35">
      <c r="A1" s="9" t="s">
        <v>81</v>
      </c>
      <c r="B1" s="3"/>
      <c r="C1" s="3"/>
    </row>
    <row r="3" spans="1:13" ht="31.5" x14ac:dyDescent="0.25">
      <c r="A3" s="4" t="s">
        <v>128</v>
      </c>
      <c r="B3" s="4" t="s">
        <v>125</v>
      </c>
      <c r="C3" s="12" t="s">
        <v>0</v>
      </c>
      <c r="D3" s="4" t="s">
        <v>123</v>
      </c>
      <c r="E3" s="4" t="s">
        <v>124</v>
      </c>
      <c r="F3" s="12" t="s">
        <v>1</v>
      </c>
      <c r="G3" s="12" t="s">
        <v>2</v>
      </c>
      <c r="H3" s="4" t="s">
        <v>3</v>
      </c>
      <c r="I3" s="4" t="s">
        <v>4</v>
      </c>
      <c r="J3" s="4" t="s">
        <v>5</v>
      </c>
      <c r="K3" s="12" t="s">
        <v>122</v>
      </c>
      <c r="L3" s="12" t="s">
        <v>80</v>
      </c>
      <c r="M3" s="12" t="s">
        <v>186</v>
      </c>
    </row>
    <row r="4" spans="1:13" ht="30" x14ac:dyDescent="0.25">
      <c r="A4" s="10">
        <v>1180</v>
      </c>
      <c r="B4" t="s">
        <v>126</v>
      </c>
      <c r="C4" t="str">
        <f>B4&amp;A4</f>
        <v>F1180</v>
      </c>
      <c r="D4" t="s">
        <v>82</v>
      </c>
      <c r="E4" s="5" t="s">
        <v>62</v>
      </c>
      <c r="F4" t="str">
        <f>PROPER(E4&amp;" "&amp;D4)</f>
        <v>Stevie Bacata</v>
      </c>
      <c r="G4" s="5" t="str">
        <f>LOWER(E4&amp;D4&amp;"@zenco.com")</f>
        <v>steviebacata@zenco.com</v>
      </c>
      <c r="H4" s="1">
        <v>39551</v>
      </c>
      <c r="I4" s="2" t="s">
        <v>69</v>
      </c>
      <c r="J4" s="2" t="s">
        <v>83</v>
      </c>
      <c r="K4" s="2">
        <v>2</v>
      </c>
      <c r="L4" t="s">
        <v>148</v>
      </c>
      <c r="M4" t="s">
        <v>149</v>
      </c>
    </row>
    <row r="5" spans="1:13" ht="30" x14ac:dyDescent="0.25">
      <c r="A5" s="10">
        <v>1110</v>
      </c>
      <c r="B5" t="s">
        <v>126</v>
      </c>
      <c r="C5" t="str">
        <f t="shared" ref="C5:C38" si="0">B5&amp;A5</f>
        <v>F1110</v>
      </c>
      <c r="D5" t="s">
        <v>7</v>
      </c>
      <c r="E5" s="5" t="s">
        <v>11</v>
      </c>
      <c r="F5" t="str">
        <f>PROPER(E5&amp;" "&amp;D5)</f>
        <v>Adam Barry</v>
      </c>
      <c r="G5" s="5" t="str">
        <f t="shared" ref="G5:G38" si="1">LOWER(E5&amp;D5&amp;"@zenco.com")</f>
        <v>adambarry@zenco.com</v>
      </c>
      <c r="H5" s="1">
        <v>38099</v>
      </c>
      <c r="I5" s="2" t="s">
        <v>30</v>
      </c>
      <c r="J5" s="2" t="s">
        <v>84</v>
      </c>
      <c r="K5" s="2">
        <v>2</v>
      </c>
      <c r="L5" t="s">
        <v>148</v>
      </c>
      <c r="M5" t="s">
        <v>150</v>
      </c>
    </row>
    <row r="6" spans="1:13" ht="30" x14ac:dyDescent="0.25">
      <c r="A6" s="10">
        <v>1232</v>
      </c>
      <c r="B6" t="s">
        <v>126</v>
      </c>
      <c r="C6" t="str">
        <f t="shared" si="0"/>
        <v>F1232</v>
      </c>
      <c r="D6" t="s">
        <v>57</v>
      </c>
      <c r="E6" s="5" t="s">
        <v>56</v>
      </c>
      <c r="F6" t="str">
        <f t="shared" ref="F6:F30" si="2">PROPER(E6&amp;" "&amp;D6)</f>
        <v>Connor Betts</v>
      </c>
      <c r="G6" s="5" t="str">
        <f t="shared" si="1"/>
        <v>connorbetts@zenco.com</v>
      </c>
      <c r="H6" s="1">
        <v>41956</v>
      </c>
      <c r="I6" s="2" t="s">
        <v>69</v>
      </c>
      <c r="J6" s="2" t="s">
        <v>85</v>
      </c>
      <c r="K6" s="2">
        <v>2</v>
      </c>
      <c r="L6" t="s">
        <v>151</v>
      </c>
      <c r="M6" t="s">
        <v>152</v>
      </c>
    </row>
    <row r="7" spans="1:13" ht="30" x14ac:dyDescent="0.25">
      <c r="A7" s="10">
        <v>1243</v>
      </c>
      <c r="B7" t="s">
        <v>127</v>
      </c>
      <c r="C7" t="str">
        <f t="shared" si="0"/>
        <v>P1243</v>
      </c>
      <c r="D7" t="s">
        <v>39</v>
      </c>
      <c r="E7" s="5" t="s">
        <v>38</v>
      </c>
      <c r="F7" t="str">
        <f t="shared" si="2"/>
        <v>Fred Binga</v>
      </c>
      <c r="G7" s="5" t="str">
        <f t="shared" si="1"/>
        <v>fredbinga@zenco.com</v>
      </c>
      <c r="H7" s="1">
        <v>42229</v>
      </c>
      <c r="I7" s="2" t="s">
        <v>17</v>
      </c>
      <c r="J7" s="2" t="s">
        <v>86</v>
      </c>
      <c r="K7" s="2">
        <v>3</v>
      </c>
      <c r="L7" t="s">
        <v>148</v>
      </c>
      <c r="M7" t="s">
        <v>153</v>
      </c>
    </row>
    <row r="8" spans="1:13" ht="30" x14ac:dyDescent="0.25">
      <c r="A8" s="10">
        <v>1248</v>
      </c>
      <c r="B8" t="s">
        <v>127</v>
      </c>
      <c r="C8" t="str">
        <f t="shared" si="0"/>
        <v>P1248</v>
      </c>
      <c r="D8" t="s">
        <v>59</v>
      </c>
      <c r="E8" s="5" t="s">
        <v>58</v>
      </c>
      <c r="F8" t="str">
        <f t="shared" si="2"/>
        <v>Yvette Biti</v>
      </c>
      <c r="G8" s="5" t="str">
        <f t="shared" si="1"/>
        <v>yvettebiti@zenco.com</v>
      </c>
      <c r="H8" s="1">
        <v>42384</v>
      </c>
      <c r="I8" s="2" t="s">
        <v>69</v>
      </c>
      <c r="J8" s="2" t="s">
        <v>115</v>
      </c>
      <c r="K8" s="2">
        <v>2</v>
      </c>
      <c r="L8" t="s">
        <v>148</v>
      </c>
      <c r="M8" t="s">
        <v>154</v>
      </c>
    </row>
    <row r="9" spans="1:13" ht="30" x14ac:dyDescent="0.25">
      <c r="A9" s="10">
        <v>1227</v>
      </c>
      <c r="B9" t="s">
        <v>127</v>
      </c>
      <c r="C9" t="str">
        <f t="shared" si="0"/>
        <v>P1227</v>
      </c>
      <c r="D9" t="s">
        <v>25</v>
      </c>
      <c r="E9" s="5" t="s">
        <v>36</v>
      </c>
      <c r="F9" t="str">
        <f t="shared" si="2"/>
        <v>Jim Boller</v>
      </c>
      <c r="G9" s="5" t="str">
        <f t="shared" si="1"/>
        <v>jimboller@zenco.com</v>
      </c>
      <c r="H9" s="1">
        <v>41893</v>
      </c>
      <c r="I9" s="2" t="s">
        <v>15</v>
      </c>
      <c r="J9" s="2" t="s">
        <v>87</v>
      </c>
      <c r="K9" s="2">
        <v>3</v>
      </c>
      <c r="L9" t="s">
        <v>155</v>
      </c>
      <c r="M9" t="s">
        <v>156</v>
      </c>
    </row>
    <row r="10" spans="1:13" ht="30" x14ac:dyDescent="0.25">
      <c r="A10" s="10">
        <v>1230</v>
      </c>
      <c r="B10" t="s">
        <v>127</v>
      </c>
      <c r="C10" t="str">
        <f t="shared" si="0"/>
        <v>P1230</v>
      </c>
      <c r="D10" t="s">
        <v>61</v>
      </c>
      <c r="E10" s="5" t="s">
        <v>60</v>
      </c>
      <c r="F10" t="str">
        <f t="shared" si="2"/>
        <v>Charlie Bui</v>
      </c>
      <c r="G10" s="5" t="str">
        <f t="shared" si="1"/>
        <v>charliebui@zenco.com</v>
      </c>
      <c r="H10" s="1">
        <v>41903</v>
      </c>
      <c r="I10" s="2" t="s">
        <v>69</v>
      </c>
      <c r="J10" s="2" t="s">
        <v>88</v>
      </c>
      <c r="K10" s="2">
        <v>2</v>
      </c>
      <c r="L10" t="s">
        <v>155</v>
      </c>
      <c r="M10" t="s">
        <v>157</v>
      </c>
    </row>
    <row r="11" spans="1:13" ht="30" x14ac:dyDescent="0.25">
      <c r="A11" s="10">
        <v>1162</v>
      </c>
      <c r="B11" t="s">
        <v>126</v>
      </c>
      <c r="C11" t="str">
        <f t="shared" si="0"/>
        <v>F1162</v>
      </c>
      <c r="D11" t="s">
        <v>43</v>
      </c>
      <c r="E11" s="5" t="s">
        <v>41</v>
      </c>
      <c r="F11" t="str">
        <f t="shared" si="2"/>
        <v>Barbara Carlton</v>
      </c>
      <c r="G11" s="5" t="str">
        <f t="shared" si="1"/>
        <v>barbaracarlton@zenco.com</v>
      </c>
      <c r="H11" s="1">
        <v>38798</v>
      </c>
      <c r="I11" s="2" t="s">
        <v>69</v>
      </c>
      <c r="J11" s="2" t="s">
        <v>89</v>
      </c>
      <c r="K11" s="2">
        <v>2</v>
      </c>
      <c r="L11" t="s">
        <v>148</v>
      </c>
      <c r="M11" t="s">
        <v>158</v>
      </c>
    </row>
    <row r="12" spans="1:13" ht="30" x14ac:dyDescent="0.25">
      <c r="A12" s="10">
        <v>1001</v>
      </c>
      <c r="B12" t="s">
        <v>127</v>
      </c>
      <c r="C12" t="str">
        <f t="shared" si="0"/>
        <v>P1001</v>
      </c>
      <c r="D12" t="s">
        <v>27</v>
      </c>
      <c r="E12" s="5" t="s">
        <v>29</v>
      </c>
      <c r="F12" t="str">
        <f t="shared" si="2"/>
        <v>Joe Carol</v>
      </c>
      <c r="G12" s="5" t="str">
        <f t="shared" si="1"/>
        <v>joecarol@zenco.com</v>
      </c>
      <c r="H12" s="1">
        <v>36923</v>
      </c>
      <c r="I12" s="2" t="s">
        <v>28</v>
      </c>
      <c r="J12" s="2" t="s">
        <v>90</v>
      </c>
      <c r="K12" s="2">
        <v>1</v>
      </c>
      <c r="L12" t="s">
        <v>155</v>
      </c>
      <c r="M12" t="s">
        <v>159</v>
      </c>
    </row>
    <row r="13" spans="1:13" ht="30" x14ac:dyDescent="0.25">
      <c r="A13" s="10">
        <v>1224</v>
      </c>
      <c r="B13" t="s">
        <v>126</v>
      </c>
      <c r="C13" t="str">
        <f t="shared" si="0"/>
        <v>F1224</v>
      </c>
      <c r="D13" t="s">
        <v>10</v>
      </c>
      <c r="E13" s="5" t="s">
        <v>36</v>
      </c>
      <c r="F13" t="str">
        <f t="shared" si="2"/>
        <v>Jim Chaffee</v>
      </c>
      <c r="G13" s="5" t="str">
        <f t="shared" si="1"/>
        <v>jimchaffee@zenco.com</v>
      </c>
      <c r="H13" s="1">
        <v>41787</v>
      </c>
      <c r="I13" s="2" t="s">
        <v>12</v>
      </c>
      <c r="J13" s="2" t="s">
        <v>91</v>
      </c>
      <c r="K13" s="2">
        <v>3</v>
      </c>
      <c r="L13" t="s">
        <v>148</v>
      </c>
      <c r="M13" t="s">
        <v>160</v>
      </c>
    </row>
    <row r="14" spans="1:13" ht="30" x14ac:dyDescent="0.25">
      <c r="A14" s="10">
        <v>1203</v>
      </c>
      <c r="B14" t="s">
        <v>127</v>
      </c>
      <c r="C14" t="str">
        <f t="shared" si="0"/>
        <v>P1203</v>
      </c>
      <c r="D14" t="s">
        <v>45</v>
      </c>
      <c r="E14" s="5" t="s">
        <v>44</v>
      </c>
      <c r="F14" t="str">
        <f t="shared" si="2"/>
        <v>Samantha Chairs</v>
      </c>
      <c r="G14" s="5" t="str">
        <f t="shared" si="1"/>
        <v>samanthachairs@zenco.com</v>
      </c>
      <c r="H14" s="1">
        <v>40595</v>
      </c>
      <c r="I14" s="2" t="s">
        <v>69</v>
      </c>
      <c r="J14" s="2" t="s">
        <v>92</v>
      </c>
      <c r="K14" s="2">
        <v>2</v>
      </c>
      <c r="L14" t="s">
        <v>148</v>
      </c>
      <c r="M14" t="s">
        <v>161</v>
      </c>
    </row>
    <row r="15" spans="1:13" ht="30" x14ac:dyDescent="0.25">
      <c r="A15" s="10">
        <v>1211</v>
      </c>
      <c r="B15" t="s">
        <v>127</v>
      </c>
      <c r="C15" t="str">
        <f t="shared" si="0"/>
        <v>P1211</v>
      </c>
      <c r="D15" t="s">
        <v>79</v>
      </c>
      <c r="E15" s="5" t="s">
        <v>78</v>
      </c>
      <c r="F15" t="str">
        <f t="shared" si="2"/>
        <v>Uma Chaudri</v>
      </c>
      <c r="G15" s="5" t="str">
        <f t="shared" si="1"/>
        <v>umachaudri@zenco.com</v>
      </c>
      <c r="H15" s="1">
        <v>40994</v>
      </c>
      <c r="I15" s="2" t="s">
        <v>17</v>
      </c>
      <c r="J15" s="2" t="s">
        <v>116</v>
      </c>
      <c r="K15" s="2">
        <v>3</v>
      </c>
      <c r="L15" t="s">
        <v>155</v>
      </c>
      <c r="M15" t="s">
        <v>162</v>
      </c>
    </row>
    <row r="16" spans="1:13" ht="30" x14ac:dyDescent="0.25">
      <c r="A16" s="10">
        <v>1198</v>
      </c>
      <c r="B16" t="s">
        <v>127</v>
      </c>
      <c r="C16" t="str">
        <f t="shared" si="0"/>
        <v>P1198</v>
      </c>
      <c r="D16" t="s">
        <v>37</v>
      </c>
      <c r="E16" s="5" t="s">
        <v>16</v>
      </c>
      <c r="F16" t="str">
        <f t="shared" si="2"/>
        <v>Elizabeth Chu</v>
      </c>
      <c r="G16" s="5" t="str">
        <f t="shared" si="1"/>
        <v>elizabethchu@zenco.com</v>
      </c>
      <c r="H16" s="1">
        <v>40220</v>
      </c>
      <c r="I16" s="2" t="s">
        <v>77</v>
      </c>
      <c r="J16" s="2" t="s">
        <v>93</v>
      </c>
      <c r="K16" s="2">
        <v>1</v>
      </c>
      <c r="L16" t="s">
        <v>148</v>
      </c>
      <c r="M16" t="s">
        <v>163</v>
      </c>
    </row>
    <row r="17" spans="1:13" ht="30" x14ac:dyDescent="0.25">
      <c r="A17" s="10">
        <v>1003</v>
      </c>
      <c r="B17" t="s">
        <v>126</v>
      </c>
      <c r="C17" t="str">
        <f t="shared" si="0"/>
        <v>F1003</v>
      </c>
      <c r="D17" t="s">
        <v>20</v>
      </c>
      <c r="E17" s="5" t="s">
        <v>70</v>
      </c>
      <c r="F17" t="str">
        <f t="shared" si="2"/>
        <v>Eric Chung</v>
      </c>
      <c r="G17" s="5" t="str">
        <f t="shared" si="1"/>
        <v>ericchung@zenco.com</v>
      </c>
      <c r="H17" s="1">
        <v>36949</v>
      </c>
      <c r="I17" s="2" t="s">
        <v>77</v>
      </c>
      <c r="J17" s="2" t="s">
        <v>94</v>
      </c>
      <c r="K17" s="2">
        <v>3</v>
      </c>
      <c r="L17" t="s">
        <v>148</v>
      </c>
      <c r="M17" t="s">
        <v>164</v>
      </c>
    </row>
    <row r="18" spans="1:13" ht="30" x14ac:dyDescent="0.25">
      <c r="A18" s="10">
        <v>1235</v>
      </c>
      <c r="B18" t="s">
        <v>126</v>
      </c>
      <c r="C18" t="str">
        <f t="shared" si="0"/>
        <v>F1235</v>
      </c>
      <c r="D18" t="s">
        <v>24</v>
      </c>
      <c r="E18" s="5" t="s">
        <v>73</v>
      </c>
      <c r="F18" t="str">
        <f t="shared" si="2"/>
        <v>Anna Clark</v>
      </c>
      <c r="G18" s="5" t="str">
        <f t="shared" si="1"/>
        <v>annaclark@zenco.com</v>
      </c>
      <c r="H18" s="1">
        <v>41989</v>
      </c>
      <c r="I18" s="2" t="s">
        <v>15</v>
      </c>
      <c r="J18" s="2" t="s">
        <v>95</v>
      </c>
      <c r="K18" s="2">
        <v>3</v>
      </c>
      <c r="L18" t="s">
        <v>148</v>
      </c>
      <c r="M18" t="s">
        <v>165</v>
      </c>
    </row>
    <row r="19" spans="1:13" ht="30" x14ac:dyDescent="0.25">
      <c r="A19" s="10">
        <v>1253</v>
      </c>
      <c r="B19" t="s">
        <v>127</v>
      </c>
      <c r="C19" t="str">
        <f t="shared" si="0"/>
        <v>P1253</v>
      </c>
      <c r="D19" t="s">
        <v>24</v>
      </c>
      <c r="E19" s="5" t="s">
        <v>76</v>
      </c>
      <c r="F19" t="str">
        <f t="shared" si="2"/>
        <v>Elizabeth Clark</v>
      </c>
      <c r="G19" s="5" t="str">
        <f t="shared" si="1"/>
        <v>elizabethclark@zenco.com</v>
      </c>
      <c r="H19" s="1">
        <v>42905</v>
      </c>
      <c r="I19" s="2" t="s">
        <v>30</v>
      </c>
      <c r="J19" s="2" t="s">
        <v>96</v>
      </c>
      <c r="K19" s="2">
        <v>2</v>
      </c>
      <c r="L19" t="s">
        <v>151</v>
      </c>
      <c r="M19" t="s">
        <v>166</v>
      </c>
    </row>
    <row r="20" spans="1:13" ht="30" x14ac:dyDescent="0.25">
      <c r="A20" s="10">
        <v>1221</v>
      </c>
      <c r="B20" t="s">
        <v>127</v>
      </c>
      <c r="C20" t="str">
        <f t="shared" si="0"/>
        <v>P1221</v>
      </c>
      <c r="D20" t="s">
        <v>8</v>
      </c>
      <c r="E20" s="5" t="s">
        <v>23</v>
      </c>
      <c r="F20" t="str">
        <f t="shared" si="2"/>
        <v>Sabrina Cole</v>
      </c>
      <c r="G20" s="5" t="str">
        <f t="shared" si="1"/>
        <v>sabrinacole@zenco.com</v>
      </c>
      <c r="H20" s="1">
        <v>41401</v>
      </c>
      <c r="I20" s="2" t="s">
        <v>30</v>
      </c>
      <c r="J20" s="2" t="s">
        <v>97</v>
      </c>
      <c r="K20" s="2">
        <v>2</v>
      </c>
      <c r="L20" t="s">
        <v>148</v>
      </c>
      <c r="M20" t="s">
        <v>167</v>
      </c>
    </row>
    <row r="21" spans="1:13" ht="30" x14ac:dyDescent="0.25">
      <c r="A21" s="10">
        <v>1186</v>
      </c>
      <c r="B21" t="s">
        <v>126</v>
      </c>
      <c r="C21" t="str">
        <f t="shared" si="0"/>
        <v>F1186</v>
      </c>
      <c r="D21" t="s">
        <v>31</v>
      </c>
      <c r="E21" s="5" t="s">
        <v>19</v>
      </c>
      <c r="F21" t="str">
        <f t="shared" si="2"/>
        <v>Janet Comuntzis</v>
      </c>
      <c r="G21" s="5" t="str">
        <f t="shared" si="1"/>
        <v>janetcomuntzis@zenco.com</v>
      </c>
      <c r="H21" s="1">
        <v>39686</v>
      </c>
      <c r="I21" s="2" t="s">
        <v>30</v>
      </c>
      <c r="J21" s="2" t="s">
        <v>98</v>
      </c>
      <c r="K21" s="2">
        <v>2</v>
      </c>
      <c r="L21" t="s">
        <v>148</v>
      </c>
      <c r="M21" t="s">
        <v>168</v>
      </c>
    </row>
    <row r="22" spans="1:13" ht="30" x14ac:dyDescent="0.25">
      <c r="A22" s="10">
        <v>1218</v>
      </c>
      <c r="B22" t="s">
        <v>127</v>
      </c>
      <c r="C22" t="str">
        <f t="shared" si="0"/>
        <v>P1218</v>
      </c>
      <c r="D22" t="s">
        <v>6</v>
      </c>
      <c r="E22" s="5" t="s">
        <v>21</v>
      </c>
      <c r="F22" t="str">
        <f t="shared" si="2"/>
        <v>Bob Decker</v>
      </c>
      <c r="G22" s="5" t="str">
        <f t="shared" si="1"/>
        <v>bobdecker@zenco.com</v>
      </c>
      <c r="H22" s="1">
        <v>41210</v>
      </c>
      <c r="I22" s="2" t="s">
        <v>77</v>
      </c>
      <c r="J22" s="2" t="s">
        <v>117</v>
      </c>
      <c r="K22" s="2">
        <v>1</v>
      </c>
      <c r="L22" t="s">
        <v>155</v>
      </c>
      <c r="M22" t="s">
        <v>169</v>
      </c>
    </row>
    <row r="23" spans="1:13" ht="30" x14ac:dyDescent="0.25">
      <c r="A23" s="10">
        <v>1215</v>
      </c>
      <c r="B23" t="s">
        <v>126</v>
      </c>
      <c r="C23" t="str">
        <f t="shared" si="0"/>
        <v>F1215</v>
      </c>
      <c r="D23" t="s">
        <v>40</v>
      </c>
      <c r="E23" s="5" t="s">
        <v>42</v>
      </c>
      <c r="F23" t="str">
        <f t="shared" si="2"/>
        <v>Tina Desiato</v>
      </c>
      <c r="G23" s="5" t="str">
        <f t="shared" si="1"/>
        <v>tinadesiato@zenco.com</v>
      </c>
      <c r="H23" s="1">
        <v>41175</v>
      </c>
      <c r="I23" t="s">
        <v>77</v>
      </c>
      <c r="J23" s="2" t="s">
        <v>99</v>
      </c>
      <c r="K23" s="2">
        <v>1</v>
      </c>
      <c r="L23" t="s">
        <v>155</v>
      </c>
      <c r="M23" t="s">
        <v>170</v>
      </c>
    </row>
    <row r="24" spans="1:13" ht="30" x14ac:dyDescent="0.25">
      <c r="A24" s="10">
        <v>1241</v>
      </c>
      <c r="B24" t="s">
        <v>127</v>
      </c>
      <c r="C24" t="str">
        <f t="shared" si="0"/>
        <v>P1241</v>
      </c>
      <c r="D24" t="s">
        <v>13</v>
      </c>
      <c r="E24" s="5" t="s">
        <v>34</v>
      </c>
      <c r="F24" t="str">
        <f t="shared" si="2"/>
        <v>Alexandra Donnell</v>
      </c>
      <c r="G24" s="5" t="str">
        <f t="shared" si="1"/>
        <v>alexandradonnell@zenco.com</v>
      </c>
      <c r="H24" s="1">
        <v>42228</v>
      </c>
      <c r="I24" s="2" t="s">
        <v>15</v>
      </c>
      <c r="J24" s="2" t="s">
        <v>100</v>
      </c>
      <c r="K24" s="2">
        <v>3</v>
      </c>
      <c r="L24" t="s">
        <v>148</v>
      </c>
      <c r="M24" t="s">
        <v>171</v>
      </c>
    </row>
    <row r="25" spans="1:13" ht="30" x14ac:dyDescent="0.25">
      <c r="A25" s="10">
        <v>1246</v>
      </c>
      <c r="B25" t="s">
        <v>126</v>
      </c>
      <c r="C25" t="str">
        <f t="shared" si="0"/>
        <v>F1246</v>
      </c>
      <c r="D25" t="s">
        <v>18</v>
      </c>
      <c r="E25" s="5" t="s">
        <v>32</v>
      </c>
      <c r="F25" t="str">
        <f t="shared" si="2"/>
        <v>Mark Ellis</v>
      </c>
      <c r="G25" s="5" t="str">
        <f t="shared" si="1"/>
        <v>markellis@zenco.com</v>
      </c>
      <c r="H25" s="1">
        <v>42371</v>
      </c>
      <c r="I25" s="2" t="s">
        <v>77</v>
      </c>
      <c r="J25" s="2" t="s">
        <v>101</v>
      </c>
      <c r="K25" s="2">
        <v>3</v>
      </c>
      <c r="L25" t="s">
        <v>151</v>
      </c>
      <c r="M25" t="s">
        <v>172</v>
      </c>
    </row>
    <row r="26" spans="1:13" ht="30" x14ac:dyDescent="0.25">
      <c r="A26" s="10">
        <v>1172</v>
      </c>
      <c r="B26" t="s">
        <v>126</v>
      </c>
      <c r="C26" t="str">
        <f t="shared" si="0"/>
        <v>F1172</v>
      </c>
      <c r="D26" t="s">
        <v>64</v>
      </c>
      <c r="E26" s="5" t="s">
        <v>63</v>
      </c>
      <c r="F26" t="str">
        <f t="shared" si="2"/>
        <v>Nicholas Fernandes</v>
      </c>
      <c r="G26" s="5" t="str">
        <f t="shared" si="1"/>
        <v>nicholasfernandes@zenco.com</v>
      </c>
      <c r="H26" s="1">
        <v>39023</v>
      </c>
      <c r="I26" s="2" t="s">
        <v>15</v>
      </c>
      <c r="J26" s="2" t="s">
        <v>102</v>
      </c>
      <c r="K26" s="2">
        <v>2</v>
      </c>
      <c r="L26" t="s">
        <v>155</v>
      </c>
      <c r="M26" t="s">
        <v>173</v>
      </c>
    </row>
    <row r="27" spans="1:13" ht="30" x14ac:dyDescent="0.25">
      <c r="A27" s="10">
        <v>1134</v>
      </c>
      <c r="B27" t="s">
        <v>126</v>
      </c>
      <c r="C27" t="str">
        <f t="shared" si="0"/>
        <v>F1134</v>
      </c>
      <c r="D27" t="s">
        <v>35</v>
      </c>
      <c r="E27" s="5" t="s">
        <v>26</v>
      </c>
      <c r="F27" t="str">
        <f t="shared" si="2"/>
        <v>Mary Ferris</v>
      </c>
      <c r="G27" s="5" t="str">
        <f t="shared" si="1"/>
        <v>maryferris@zenco.com</v>
      </c>
      <c r="H27" s="1">
        <v>38548</v>
      </c>
      <c r="I27" s="2" t="s">
        <v>69</v>
      </c>
      <c r="J27" s="2" t="s">
        <v>103</v>
      </c>
      <c r="K27" s="2">
        <v>3</v>
      </c>
      <c r="L27" t="s">
        <v>155</v>
      </c>
      <c r="M27" t="s">
        <v>174</v>
      </c>
    </row>
    <row r="28" spans="1:13" ht="30" x14ac:dyDescent="0.25">
      <c r="A28" s="10">
        <v>1150</v>
      </c>
      <c r="B28" t="s">
        <v>126</v>
      </c>
      <c r="C28" t="str">
        <f t="shared" si="0"/>
        <v>F1150</v>
      </c>
      <c r="D28" t="s">
        <v>33</v>
      </c>
      <c r="E28" s="5" t="s">
        <v>14</v>
      </c>
      <c r="F28" t="str">
        <f t="shared" si="2"/>
        <v>Susan Filosa</v>
      </c>
      <c r="G28" s="5" t="str">
        <f t="shared" si="1"/>
        <v>susanfilosa@zenco.com</v>
      </c>
      <c r="H28" s="1">
        <v>38744</v>
      </c>
      <c r="I28" s="2" t="s">
        <v>30</v>
      </c>
      <c r="J28" s="2" t="s">
        <v>104</v>
      </c>
      <c r="K28" s="2">
        <v>2</v>
      </c>
      <c r="L28" t="s">
        <v>148</v>
      </c>
      <c r="M28" t="s">
        <v>175</v>
      </c>
    </row>
    <row r="29" spans="1:13" ht="30" x14ac:dyDescent="0.25">
      <c r="A29" s="10">
        <v>1004</v>
      </c>
      <c r="B29" t="s">
        <v>127</v>
      </c>
      <c r="C29" t="str">
        <f t="shared" si="0"/>
        <v>P1004</v>
      </c>
      <c r="D29" t="s">
        <v>22</v>
      </c>
      <c r="E29" s="5" t="s">
        <v>9</v>
      </c>
      <c r="F29" t="str">
        <f t="shared" si="2"/>
        <v>Daniel Flanders</v>
      </c>
      <c r="G29" s="5" t="str">
        <f t="shared" si="1"/>
        <v>danielflanders@zenco.com</v>
      </c>
      <c r="H29" s="1">
        <v>37510</v>
      </c>
      <c r="I29" s="2" t="s">
        <v>69</v>
      </c>
      <c r="J29" s="2" t="s">
        <v>105</v>
      </c>
      <c r="K29" s="2">
        <v>2</v>
      </c>
      <c r="L29" t="s">
        <v>155</v>
      </c>
      <c r="M29" t="s">
        <v>176</v>
      </c>
    </row>
    <row r="30" spans="1:13" ht="30" x14ac:dyDescent="0.25">
      <c r="A30" s="10">
        <v>1239</v>
      </c>
      <c r="B30" t="s">
        <v>126</v>
      </c>
      <c r="C30" t="str">
        <f t="shared" si="0"/>
        <v>F1239</v>
      </c>
      <c r="D30" t="s">
        <v>51</v>
      </c>
      <c r="E30" s="5" t="s">
        <v>50</v>
      </c>
      <c r="F30" t="str">
        <f t="shared" si="2"/>
        <v>Leighton Forrest</v>
      </c>
      <c r="G30" s="5" t="str">
        <f t="shared" si="1"/>
        <v>leightonforrest@zenco.com</v>
      </c>
      <c r="H30" s="1">
        <v>42120</v>
      </c>
      <c r="I30" s="2" t="s">
        <v>69</v>
      </c>
      <c r="J30" s="2" t="s">
        <v>106</v>
      </c>
      <c r="K30" s="2">
        <v>2</v>
      </c>
      <c r="L30" t="s">
        <v>155</v>
      </c>
      <c r="M30" t="s">
        <v>177</v>
      </c>
    </row>
    <row r="31" spans="1:13" ht="30" x14ac:dyDescent="0.25">
      <c r="A31" s="10">
        <v>1250</v>
      </c>
      <c r="B31" t="s">
        <v>126</v>
      </c>
      <c r="C31" t="str">
        <f t="shared" si="0"/>
        <v>F1250</v>
      </c>
      <c r="D31" t="s">
        <v>49</v>
      </c>
      <c r="E31" s="5" t="s">
        <v>48</v>
      </c>
      <c r="F31" t="str">
        <f>PROPER(E31&amp;" "&amp;D31)</f>
        <v>Phoebe Gour</v>
      </c>
      <c r="G31" s="5" t="str">
        <f t="shared" si="1"/>
        <v>phoebegour@zenco.com</v>
      </c>
      <c r="H31" s="1">
        <v>42721</v>
      </c>
      <c r="I31" s="2" t="s">
        <v>69</v>
      </c>
      <c r="J31" s="2" t="s">
        <v>107</v>
      </c>
      <c r="K31" s="2">
        <v>2</v>
      </c>
      <c r="L31" t="s">
        <v>155</v>
      </c>
      <c r="M31" t="s">
        <v>178</v>
      </c>
    </row>
    <row r="32" spans="1:13" ht="30" x14ac:dyDescent="0.25">
      <c r="A32" s="10">
        <v>1192</v>
      </c>
      <c r="B32" t="s">
        <v>127</v>
      </c>
      <c r="C32" t="str">
        <f t="shared" si="0"/>
        <v>P1192</v>
      </c>
      <c r="D32" t="s">
        <v>47</v>
      </c>
      <c r="E32" s="5" t="s">
        <v>46</v>
      </c>
      <c r="F32" t="str">
        <f>PROPER(E32&amp;" "&amp;D32)</f>
        <v>Mihael Khan</v>
      </c>
      <c r="G32" s="5" t="str">
        <f t="shared" si="1"/>
        <v>mihaelkhan@zenco.com</v>
      </c>
      <c r="H32" s="1">
        <v>40160</v>
      </c>
      <c r="I32" s="2" t="s">
        <v>69</v>
      </c>
      <c r="J32" s="2" t="s">
        <v>108</v>
      </c>
      <c r="K32" s="2">
        <v>2</v>
      </c>
      <c r="L32" t="s">
        <v>151</v>
      </c>
      <c r="M32" t="s">
        <v>179</v>
      </c>
    </row>
    <row r="33" spans="1:13" ht="30" x14ac:dyDescent="0.25">
      <c r="A33" s="10">
        <v>1249</v>
      </c>
      <c r="B33" t="s">
        <v>127</v>
      </c>
      <c r="C33" t="str">
        <f t="shared" si="0"/>
        <v>P1249</v>
      </c>
      <c r="D33" t="s">
        <v>75</v>
      </c>
      <c r="E33" s="5" t="s">
        <v>74</v>
      </c>
      <c r="F33" t="str">
        <f t="shared" ref="F33:F37" si="3">PROPER(E33&amp;" "&amp;D33)</f>
        <v>Sean Sanders</v>
      </c>
      <c r="G33" s="5" t="str">
        <f t="shared" si="1"/>
        <v>seansanders@zenco.com</v>
      </c>
      <c r="H33" s="1">
        <v>42691</v>
      </c>
      <c r="I33" s="2" t="s">
        <v>17</v>
      </c>
      <c r="J33" s="2" t="s">
        <v>109</v>
      </c>
      <c r="K33" s="2">
        <v>3</v>
      </c>
      <c r="L33" t="s">
        <v>148</v>
      </c>
      <c r="M33" t="s">
        <v>180</v>
      </c>
    </row>
    <row r="34" spans="1:13" ht="30" x14ac:dyDescent="0.25">
      <c r="A34" s="10">
        <v>1245</v>
      </c>
      <c r="B34" t="s">
        <v>127</v>
      </c>
      <c r="C34" t="str">
        <f t="shared" si="0"/>
        <v>P1245</v>
      </c>
      <c r="D34" t="s">
        <v>68</v>
      </c>
      <c r="E34" s="5" t="s">
        <v>67</v>
      </c>
      <c r="F34" t="str">
        <f t="shared" si="3"/>
        <v>Preston Senome</v>
      </c>
      <c r="G34" s="5" t="str">
        <f t="shared" si="1"/>
        <v>prestonsenome@zenco.com</v>
      </c>
      <c r="H34" s="1">
        <v>42324</v>
      </c>
      <c r="I34" s="2" t="s">
        <v>69</v>
      </c>
      <c r="J34" s="2" t="s">
        <v>110</v>
      </c>
      <c r="K34" s="2">
        <v>2</v>
      </c>
      <c r="L34" t="s">
        <v>155</v>
      </c>
      <c r="M34" t="s">
        <v>181</v>
      </c>
    </row>
    <row r="35" spans="1:13" ht="30" x14ac:dyDescent="0.25">
      <c r="A35" s="10">
        <v>1207</v>
      </c>
      <c r="B35" t="s">
        <v>127</v>
      </c>
      <c r="C35" t="str">
        <f t="shared" si="0"/>
        <v>P1207</v>
      </c>
      <c r="D35" t="s">
        <v>53</v>
      </c>
      <c r="E35" s="5" t="s">
        <v>52</v>
      </c>
      <c r="F35" t="str">
        <f t="shared" si="3"/>
        <v>Natasha Song</v>
      </c>
      <c r="G35" s="5" t="str">
        <f t="shared" si="1"/>
        <v>natashasong@zenco.com</v>
      </c>
      <c r="H35" s="1">
        <v>40713</v>
      </c>
      <c r="I35" s="2" t="s">
        <v>69</v>
      </c>
      <c r="J35" s="2" t="s">
        <v>111</v>
      </c>
      <c r="K35" s="2">
        <v>2</v>
      </c>
      <c r="L35" t="s">
        <v>155</v>
      </c>
      <c r="M35" t="s">
        <v>182</v>
      </c>
    </row>
    <row r="36" spans="1:13" ht="30" x14ac:dyDescent="0.25">
      <c r="A36" s="10">
        <v>1244</v>
      </c>
      <c r="B36" t="s">
        <v>127</v>
      </c>
      <c r="C36" t="str">
        <f t="shared" si="0"/>
        <v>P1244</v>
      </c>
      <c r="D36" t="s">
        <v>66</v>
      </c>
      <c r="E36" s="5" t="s">
        <v>65</v>
      </c>
      <c r="F36" t="str">
        <f t="shared" si="3"/>
        <v>Radhya Staples</v>
      </c>
      <c r="G36" s="5" t="str">
        <f t="shared" si="1"/>
        <v>radhyastaples@zenco.com</v>
      </c>
      <c r="H36" s="1">
        <v>42321</v>
      </c>
      <c r="I36" s="2" t="s">
        <v>69</v>
      </c>
      <c r="J36" s="2" t="s">
        <v>112</v>
      </c>
      <c r="K36" s="2">
        <v>2</v>
      </c>
      <c r="L36" t="s">
        <v>155</v>
      </c>
      <c r="M36" t="s">
        <v>183</v>
      </c>
    </row>
    <row r="37" spans="1:13" ht="30" x14ac:dyDescent="0.25">
      <c r="A37" s="10">
        <v>1252</v>
      </c>
      <c r="B37" t="s">
        <v>126</v>
      </c>
      <c r="C37" t="str">
        <f t="shared" si="0"/>
        <v>F1252</v>
      </c>
      <c r="D37" t="s">
        <v>72</v>
      </c>
      <c r="E37" s="5" t="s">
        <v>71</v>
      </c>
      <c r="F37" t="str">
        <f t="shared" si="3"/>
        <v>Mei Wang</v>
      </c>
      <c r="G37" s="5" t="str">
        <f t="shared" si="1"/>
        <v>meiwang@zenco.com</v>
      </c>
      <c r="H37" s="1">
        <v>40188</v>
      </c>
      <c r="I37" s="2" t="s">
        <v>28</v>
      </c>
      <c r="J37" s="2" t="s">
        <v>113</v>
      </c>
      <c r="K37" s="2">
        <v>1</v>
      </c>
      <c r="L37" t="s">
        <v>148</v>
      </c>
      <c r="M37" t="s">
        <v>184</v>
      </c>
    </row>
    <row r="38" spans="1:13" ht="30" x14ac:dyDescent="0.25">
      <c r="A38" s="10">
        <v>1237</v>
      </c>
      <c r="B38" t="s">
        <v>126</v>
      </c>
      <c r="C38" t="str">
        <f t="shared" si="0"/>
        <v>F1237</v>
      </c>
      <c r="D38" t="s">
        <v>55</v>
      </c>
      <c r="E38" s="5" t="s">
        <v>54</v>
      </c>
      <c r="F38" t="str">
        <f t="shared" ref="F38" si="4">E38&amp;" "&amp;D38</f>
        <v>Aanya Zhang</v>
      </c>
      <c r="G38" s="5" t="str">
        <f t="shared" si="1"/>
        <v>aanyazhang@zenco.com</v>
      </c>
      <c r="H38" s="1">
        <v>42002</v>
      </c>
      <c r="I38" s="2" t="s">
        <v>69</v>
      </c>
      <c r="J38" s="2" t="s">
        <v>114</v>
      </c>
      <c r="K38" s="2">
        <v>2</v>
      </c>
      <c r="L38" t="s">
        <v>155</v>
      </c>
      <c r="M38" t="s">
        <v>185</v>
      </c>
    </row>
  </sheetData>
  <sortState ref="A4:J38">
    <sortCondition ref="D6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DELL</cp:lastModifiedBy>
  <dcterms:created xsi:type="dcterms:W3CDTF">2017-06-15T06:51:11Z</dcterms:created>
  <dcterms:modified xsi:type="dcterms:W3CDTF">2025-01-05T05:53:16Z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fcd56-5090-4360-9797-92c0eb015b98_Enabled">
    <vt:lpwstr>true</vt:lpwstr>
  </property>
  <property fmtid="{D5CDD505-2E9C-101B-9397-08002B2CF9AE}" pid="3" name="MSIP_Label_4bcfcd56-5090-4360-9797-92c0eb015b98_SetDate">
    <vt:lpwstr>2024-12-24T07:41:47Z</vt:lpwstr>
  </property>
  <property fmtid="{D5CDD505-2E9C-101B-9397-08002B2CF9AE}" pid="4" name="MSIP_Label_4bcfcd56-5090-4360-9797-92c0eb015b98_Method">
    <vt:lpwstr>Standard</vt:lpwstr>
  </property>
  <property fmtid="{D5CDD505-2E9C-101B-9397-08002B2CF9AE}" pid="5" name="MSIP_Label_4bcfcd56-5090-4360-9797-92c0eb015b98_Name">
    <vt:lpwstr>Public</vt:lpwstr>
  </property>
  <property fmtid="{D5CDD505-2E9C-101B-9397-08002B2CF9AE}" pid="6" name="MSIP_Label_4bcfcd56-5090-4360-9797-92c0eb015b98_SiteId">
    <vt:lpwstr>f4db3ffa-dfb1-4f2d-8ade-468d458e11c2</vt:lpwstr>
  </property>
  <property fmtid="{D5CDD505-2E9C-101B-9397-08002B2CF9AE}" pid="7" name="MSIP_Label_4bcfcd56-5090-4360-9797-92c0eb015b98_ActionId">
    <vt:lpwstr>ece527cd-fa86-48f6-b014-5998e7f1338b</vt:lpwstr>
  </property>
  <property fmtid="{D5CDD505-2E9C-101B-9397-08002B2CF9AE}" pid="8" name="MSIP_Label_4bcfcd56-5090-4360-9797-92c0eb015b98_ContentBits">
    <vt:lpwstr>0</vt:lpwstr>
  </property>
</Properties>
</file>