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 mentor\ASS3\"/>
    </mc:Choice>
  </mc:AlternateContent>
  <xr:revisionPtr revIDLastSave="0" documentId="8_{E434CBEA-586A-4516-88D7-F9E7032FF8F3}" xr6:coauthVersionLast="36" xr6:coauthVersionMax="36" xr10:uidLastSave="{00000000-0000-0000-0000-000000000000}"/>
  <bookViews>
    <workbookView xWindow="0" yWindow="0" windowWidth="20490" windowHeight="7545" activeTab="4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5" l="1"/>
  <c r="G7" i="5"/>
  <c r="G6" i="5"/>
  <c r="G9" i="5"/>
  <c r="G10" i="5"/>
  <c r="G11" i="5"/>
  <c r="G12" i="5"/>
  <c r="G13" i="5"/>
  <c r="G14" i="5"/>
  <c r="G15" i="5"/>
  <c r="G16" i="5"/>
  <c r="G17" i="5"/>
  <c r="G5" i="5"/>
  <c r="I5" i="3"/>
  <c r="I6" i="3"/>
  <c r="I7" i="3"/>
  <c r="I8" i="3"/>
  <c r="I9" i="3"/>
  <c r="I10" i="3"/>
  <c r="I11" i="3"/>
  <c r="I12" i="3"/>
  <c r="I13" i="3"/>
  <c r="I14" i="3"/>
  <c r="I15" i="3"/>
  <c r="I16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4" i="3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16" i="6" l="1"/>
  <c r="G15" i="6"/>
  <c r="G14" i="6"/>
  <c r="G13" i="6"/>
  <c r="G12" i="6"/>
  <c r="G11" i="6"/>
  <c r="G10" i="6"/>
  <c r="G9" i="6"/>
  <c r="G8" i="6"/>
  <c r="G7" i="6"/>
  <c r="G6" i="6"/>
  <c r="G5" i="6"/>
  <c r="G4" i="6"/>
  <c r="I5" i="4"/>
  <c r="I6" i="4"/>
  <c r="I7" i="4"/>
  <c r="I8" i="4"/>
  <c r="I9" i="4"/>
  <c r="I10" i="4"/>
  <c r="I11" i="4"/>
  <c r="I12" i="4"/>
  <c r="I13" i="4"/>
  <c r="I14" i="4"/>
  <c r="I15" i="4"/>
  <c r="I16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4" i="4"/>
  <c r="I5" i="2"/>
  <c r="I6" i="2"/>
  <c r="I7" i="2"/>
  <c r="I8" i="2"/>
  <c r="I9" i="2"/>
  <c r="I10" i="2"/>
  <c r="I11" i="2"/>
  <c r="I12" i="2"/>
  <c r="I13" i="2"/>
  <c r="I14" i="2"/>
  <c r="I15" i="2"/>
  <c r="I16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4" i="2"/>
</calcChain>
</file>

<file path=xl/sharedStrings.xml><?xml version="1.0" encoding="utf-8"?>
<sst xmlns="http://schemas.openxmlformats.org/spreadsheetml/2006/main" count="235" uniqueCount="58">
  <si>
    <t>Employee ID</t>
  </si>
  <si>
    <t>Last Name</t>
  </si>
  <si>
    <t>First Name</t>
  </si>
  <si>
    <t>Doe</t>
  </si>
  <si>
    <t>Cline</t>
  </si>
  <si>
    <t>John</t>
  </si>
  <si>
    <t>Andy</t>
  </si>
  <si>
    <t>Peter</t>
  </si>
  <si>
    <t>Bret</t>
  </si>
  <si>
    <t>Eli</t>
  </si>
  <si>
    <t>Micheal</t>
  </si>
  <si>
    <t>Tiger</t>
  </si>
  <si>
    <t>Tony</t>
  </si>
  <si>
    <t>Prince</t>
  </si>
  <si>
    <t>Brad</t>
  </si>
  <si>
    <t>Smith</t>
  </si>
  <si>
    <t>Pan</t>
  </si>
  <si>
    <t>Favre</t>
  </si>
  <si>
    <t>Elway</t>
  </si>
  <si>
    <t>Manning</t>
  </si>
  <si>
    <t>Vick</t>
  </si>
  <si>
    <t>Woods</t>
  </si>
  <si>
    <t>Jordan</t>
  </si>
  <si>
    <t>Stark</t>
  </si>
  <si>
    <t>Williams</t>
  </si>
  <si>
    <t>Pitt</t>
  </si>
  <si>
    <t>Raw Data Extract</t>
  </si>
  <si>
    <t>Pay Report</t>
  </si>
  <si>
    <t>Pay</t>
  </si>
  <si>
    <t>City</t>
  </si>
  <si>
    <t>State</t>
  </si>
  <si>
    <t>Raw Data Extract #2</t>
  </si>
  <si>
    <t>Raw Data Extract #1</t>
  </si>
  <si>
    <t>Columbus</t>
  </si>
  <si>
    <t>Chicago</t>
  </si>
  <si>
    <t>Illnois</t>
  </si>
  <si>
    <t>Tampa Bay</t>
  </si>
  <si>
    <t>Florida</t>
  </si>
  <si>
    <t>Austin</t>
  </si>
  <si>
    <t>Texas</t>
  </si>
  <si>
    <t>Ohio</t>
  </si>
  <si>
    <t>Pay Band</t>
  </si>
  <si>
    <t>Pay Band Table</t>
  </si>
  <si>
    <t>Level A</t>
  </si>
  <si>
    <t>Level B</t>
  </si>
  <si>
    <t>Level C</t>
  </si>
  <si>
    <t>Level D</t>
  </si>
  <si>
    <t>Level E</t>
  </si>
  <si>
    <t>Pay Min</t>
  </si>
  <si>
    <t>Find the First Name and last Name using Excel Functions</t>
  </si>
  <si>
    <t>Find the Last Name and City using Excel Functions</t>
  </si>
  <si>
    <t xml:space="preserve">Find the Pay Band using Excel Functions </t>
  </si>
  <si>
    <t>Column1</t>
  </si>
  <si>
    <t>Column2</t>
  </si>
  <si>
    <t>Column3</t>
  </si>
  <si>
    <t>Column4</t>
  </si>
  <si>
    <t>Column5</t>
  </si>
  <si>
    <t>ANSWER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</si>
</sst>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\(&quot;$&quot;#,##0\);&quot;$&quot;0_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1BD62"/>
      <name val="Calibri"/>
      <family val="2"/>
      <scheme val="minor"/>
    </font>
    <font>
      <b/>
      <sz val="16"/>
      <color rgb="FF414042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14042"/>
        <bgColor indexed="64"/>
      </patternFill>
    </fill>
    <fill>
      <patternFill patternType="solid">
        <fgColor rgb="FFF1BD6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medium">
        <color rgb="FFF1BD62"/>
      </bottom>
      <diagonal/>
    </border>
    <border>
      <left/>
      <right/>
      <top/>
      <bottom style="medium">
        <color rgb="FF414042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4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4" fillId="0" borderId="5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indexed="64"/>
          <bgColor theme="0" tint="-4.9989318521683403E-2"/>
        </patternFill>
      </fill>
    </dxf>
    <dxf>
      <numFmt numFmtId="164" formatCode="&quot;$&quot;#,##0_);\(&quot;$&quot;#,##0\);&quot;$&quot;0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17</xdr:row>
      <xdr:rowOff>133351</xdr:rowOff>
    </xdr:from>
    <xdr:to>
      <xdr:col>10</xdr:col>
      <xdr:colOff>47625</xdr:colOff>
      <xdr:row>21</xdr:row>
      <xdr:rowOff>9526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1306CCCA-06B3-4539-A747-73AE6558113E}"/>
            </a:ext>
          </a:extLst>
        </xdr:cNvPr>
        <xdr:cNvSpPr/>
      </xdr:nvSpPr>
      <xdr:spPr>
        <a:xfrm>
          <a:off x="5210174" y="3457576"/>
          <a:ext cx="2305051" cy="72390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 formulas to bring in the last name and city of employees in the </a:t>
          </a:r>
          <a:r>
            <a:rPr lang="en-US" sz="1000" b="1" baseline="0">
              <a:solidFill>
                <a:srgbClr val="7F7F7F"/>
              </a:solidFill>
            </a:rPr>
            <a:t>Raw Data Extract</a:t>
          </a:r>
          <a:r>
            <a:rPr lang="en-US" sz="1000" baseline="0">
              <a:solidFill>
                <a:srgbClr val="7F7F7F"/>
              </a:solidFill>
            </a:rPr>
            <a:t> sections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17</xdr:row>
      <xdr:rowOff>85726</xdr:rowOff>
    </xdr:from>
    <xdr:to>
      <xdr:col>9</xdr:col>
      <xdr:colOff>200025</xdr:colOff>
      <xdr:row>20</xdr:row>
      <xdr:rowOff>152401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EA8C0B09-7AFF-4A80-A052-33C404A2F193}"/>
            </a:ext>
          </a:extLst>
        </xdr:cNvPr>
        <xdr:cNvSpPr/>
      </xdr:nvSpPr>
      <xdr:spPr>
        <a:xfrm>
          <a:off x="4362449" y="3409951"/>
          <a:ext cx="2543176" cy="638175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VLOOKUP's approximate match to bring in the pay band label for the Pay range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185DA-3F4A-4D94-9089-20699B891420}" name="Table1" displayName="Table1" ref="D1:H18" totalsRowShown="0">
  <autoFilter ref="D1:H18" xr:uid="{1860816A-EE2D-4059-86D6-CBBCE07B0D87}"/>
  <tableColumns count="5">
    <tableColumn id="1" xr3:uid="{49624697-05CB-4AF3-9453-7F7F20B5031E}" name="Column1"/>
    <tableColumn id="2" xr3:uid="{FF3CB9F0-B70F-40CC-9DC2-6EE3101161B4}" name="Column2"/>
    <tableColumn id="3" xr3:uid="{B3B15ED2-0904-4F81-B65F-B802B0593279}" name="Column3" dataDxfId="1"/>
    <tableColumn id="4" xr3:uid="{09ECB457-A1C3-4DB5-AD09-29CB493ED1E1}" name="Column4" dataDxfId="0"/>
    <tableColumn id="5" xr3:uid="{8ECF2186-D90E-4ED6-90AA-5FB9E3B15D5E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I20"/>
  <sheetViews>
    <sheetView showGridLines="0" workbookViewId="0">
      <selection activeCell="N11" sqref="N11"/>
    </sheetView>
  </sheetViews>
  <sheetFormatPr defaultRowHeight="15" x14ac:dyDescent="0.25"/>
  <cols>
    <col min="1" max="1" width="12.140625" bestFit="1" customWidth="1"/>
    <col min="2" max="2" width="10.140625" bestFit="1" customWidth="1"/>
    <col min="3" max="3" width="10.5703125" bestFit="1" customWidth="1"/>
    <col min="6" max="6" width="13" customWidth="1"/>
    <col min="7" max="7" width="10.42578125" customWidth="1"/>
    <col min="8" max="8" width="20.28515625" customWidth="1"/>
    <col min="9" max="9" width="11.28515625" customWidth="1"/>
  </cols>
  <sheetData>
    <row r="1" spans="1:9" ht="21.75" thickBot="1" x14ac:dyDescent="0.4">
      <c r="A1" s="11" t="s">
        <v>26</v>
      </c>
      <c r="B1" s="12"/>
      <c r="C1" s="12"/>
      <c r="F1" s="10" t="s">
        <v>27</v>
      </c>
      <c r="G1" s="9"/>
      <c r="H1" s="9"/>
      <c r="I1" s="9"/>
    </row>
    <row r="3" spans="1:9" x14ac:dyDescent="0.2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2</v>
      </c>
      <c r="I3" s="5" t="s">
        <v>1</v>
      </c>
    </row>
    <row r="4" spans="1:9" x14ac:dyDescent="0.2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VLOOKUP(F4,$A$4:$C$17,3,0)</f>
        <v>Brad</v>
      </c>
      <c r="I4" s="2" t="str">
        <f>VLOOKUP(F4,$A$4:$C$17,2,0)</f>
        <v>Pitt</v>
      </c>
    </row>
    <row r="5" spans="1:9" x14ac:dyDescent="0.2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VLOOKUP(F5,$A$4:$C$17,3,0)</f>
        <v>Prince</v>
      </c>
      <c r="I5" s="2" t="str">
        <f t="shared" ref="I5:I16" si="1">VLOOKUP(F5,$A$4:$C$17,2,0)</f>
        <v>Williams</v>
      </c>
    </row>
    <row r="6" spans="1:9" x14ac:dyDescent="0.2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Tony</v>
      </c>
      <c r="I6" s="2" t="str">
        <f t="shared" si="1"/>
        <v>Stark</v>
      </c>
    </row>
    <row r="7" spans="1:9" x14ac:dyDescent="0.2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Eli</v>
      </c>
      <c r="I7" s="2" t="str">
        <f t="shared" si="1"/>
        <v>Manning</v>
      </c>
    </row>
    <row r="8" spans="1:9" x14ac:dyDescent="0.2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John</v>
      </c>
      <c r="I8" s="2" t="str">
        <f t="shared" si="1"/>
        <v>Elway</v>
      </c>
    </row>
    <row r="9" spans="1:9" x14ac:dyDescent="0.2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Bret</v>
      </c>
      <c r="I9" s="2" t="str">
        <f t="shared" si="1"/>
        <v>Favre</v>
      </c>
    </row>
    <row r="10" spans="1:9" x14ac:dyDescent="0.2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Peter</v>
      </c>
      <c r="I10" s="2" t="str">
        <f t="shared" si="1"/>
        <v>Pan</v>
      </c>
    </row>
    <row r="11" spans="1:9" x14ac:dyDescent="0.2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John</v>
      </c>
      <c r="I11" s="2" t="str">
        <f t="shared" si="1"/>
        <v>Smith</v>
      </c>
    </row>
    <row r="12" spans="1:9" x14ac:dyDescent="0.2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Andy</v>
      </c>
      <c r="I12" s="2" t="str">
        <f t="shared" si="1"/>
        <v>Cline</v>
      </c>
    </row>
    <row r="13" spans="1:9" x14ac:dyDescent="0.2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Micheal</v>
      </c>
      <c r="I13" s="2" t="str">
        <f t="shared" si="1"/>
        <v>Jordan</v>
      </c>
    </row>
    <row r="14" spans="1:9" x14ac:dyDescent="0.2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Tiger</v>
      </c>
      <c r="I14" s="2" t="str">
        <f t="shared" si="1"/>
        <v>Woods</v>
      </c>
    </row>
    <row r="15" spans="1:9" x14ac:dyDescent="0.2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Micheal</v>
      </c>
      <c r="I15" s="2" t="str">
        <f t="shared" si="1"/>
        <v>Vick</v>
      </c>
    </row>
    <row r="16" spans="1:9" x14ac:dyDescent="0.2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John</v>
      </c>
      <c r="I16" s="2" t="str">
        <f t="shared" si="1"/>
        <v>Doe</v>
      </c>
    </row>
    <row r="20" spans="5:9" ht="18.75" x14ac:dyDescent="0.3">
      <c r="E20" t="s">
        <v>49</v>
      </c>
      <c r="I20" s="15" t="s">
        <v>57</v>
      </c>
    </row>
  </sheetData>
  <sortState ref="F4:F16">
    <sortCondition descending="1" ref="F4:F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I16"/>
  <sheetViews>
    <sheetView showGridLines="0" workbookViewId="0">
      <selection activeCell="B28" sqref="B28"/>
    </sheetView>
  </sheetViews>
  <sheetFormatPr defaultRowHeight="15" x14ac:dyDescent="0.25"/>
  <cols>
    <col min="1" max="1" width="12.140625" bestFit="1" customWidth="1"/>
    <col min="2" max="2" width="10.140625" bestFit="1" customWidth="1"/>
    <col min="3" max="3" width="10.5703125" bestFit="1" customWidth="1"/>
    <col min="6" max="6" width="13" customWidth="1"/>
    <col min="7" max="7" width="10.42578125" customWidth="1"/>
    <col min="8" max="9" width="14" customWidth="1"/>
  </cols>
  <sheetData>
    <row r="1" spans="1:9" ht="21.75" thickBot="1" x14ac:dyDescent="0.4">
      <c r="A1" s="11" t="s">
        <v>26</v>
      </c>
      <c r="B1" s="12"/>
      <c r="C1" s="12"/>
      <c r="F1" s="10" t="s">
        <v>27</v>
      </c>
      <c r="G1" s="9"/>
      <c r="H1" s="9"/>
      <c r="I1" s="9"/>
    </row>
    <row r="3" spans="1:9" x14ac:dyDescent="0.2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2</v>
      </c>
      <c r="I3" s="5" t="s">
        <v>1</v>
      </c>
    </row>
    <row r="4" spans="1:9" x14ac:dyDescent="0.2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VLOOKUP($F4,$A$3:$C$16,3,FALSE)</f>
        <v>Brad</v>
      </c>
      <c r="I4" s="2" t="str">
        <f>VLOOKUP($F4,$A$3:$C$16,2,FALSE)</f>
        <v>Pitt</v>
      </c>
    </row>
    <row r="5" spans="1:9" x14ac:dyDescent="0.2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VLOOKUP($F5,$A$3:$C$16,3,FALSE)</f>
        <v>Prince</v>
      </c>
      <c r="I5" s="2" t="str">
        <f t="shared" ref="I5:I16" si="1">VLOOKUP($F5,$A$3:$C$16,2,FALSE)</f>
        <v>Williams</v>
      </c>
    </row>
    <row r="6" spans="1:9" x14ac:dyDescent="0.2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Tony</v>
      </c>
      <c r="I6" s="2" t="str">
        <f t="shared" si="1"/>
        <v>Stark</v>
      </c>
    </row>
    <row r="7" spans="1:9" x14ac:dyDescent="0.2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Eli</v>
      </c>
      <c r="I7" s="2" t="str">
        <f t="shared" si="1"/>
        <v>Manning</v>
      </c>
    </row>
    <row r="8" spans="1:9" x14ac:dyDescent="0.2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John</v>
      </c>
      <c r="I8" s="2" t="str">
        <f t="shared" si="1"/>
        <v>Elway</v>
      </c>
    </row>
    <row r="9" spans="1:9" x14ac:dyDescent="0.2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Bret</v>
      </c>
      <c r="I9" s="2" t="str">
        <f t="shared" si="1"/>
        <v>Favre</v>
      </c>
    </row>
    <row r="10" spans="1:9" x14ac:dyDescent="0.2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Peter</v>
      </c>
      <c r="I10" s="2" t="str">
        <f t="shared" si="1"/>
        <v>Pan</v>
      </c>
    </row>
    <row r="11" spans="1:9" x14ac:dyDescent="0.2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John</v>
      </c>
      <c r="I11" s="2" t="str">
        <f t="shared" si="1"/>
        <v>Smith</v>
      </c>
    </row>
    <row r="12" spans="1:9" x14ac:dyDescent="0.2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Andy</v>
      </c>
      <c r="I12" s="2" t="str">
        <f t="shared" si="1"/>
        <v>Cline</v>
      </c>
    </row>
    <row r="13" spans="1:9" x14ac:dyDescent="0.2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Micheal</v>
      </c>
      <c r="I13" s="2" t="str">
        <f t="shared" si="1"/>
        <v>Jordan</v>
      </c>
    </row>
    <row r="14" spans="1:9" x14ac:dyDescent="0.2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Tiger</v>
      </c>
      <c r="I14" s="2" t="str">
        <f t="shared" si="1"/>
        <v>Woods</v>
      </c>
    </row>
    <row r="15" spans="1:9" x14ac:dyDescent="0.2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Micheal</v>
      </c>
      <c r="I15" s="2" t="str">
        <f t="shared" si="1"/>
        <v>Vick</v>
      </c>
    </row>
    <row r="16" spans="1:9" x14ac:dyDescent="0.2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John</v>
      </c>
      <c r="I16" s="2" t="str">
        <f t="shared" si="1"/>
        <v>Doe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O36"/>
  <sheetViews>
    <sheetView showGridLines="0" topLeftCell="A2" workbookViewId="0">
      <selection activeCell="O13" sqref="O13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10.5703125" bestFit="1" customWidth="1"/>
    <col min="6" max="6" width="13" customWidth="1"/>
    <col min="7" max="7" width="10.42578125" customWidth="1"/>
    <col min="8" max="9" width="14" customWidth="1"/>
  </cols>
  <sheetData>
    <row r="1" spans="1:15" ht="21.75" thickBot="1" x14ac:dyDescent="0.4">
      <c r="A1" s="11" t="s">
        <v>32</v>
      </c>
      <c r="B1" s="12"/>
      <c r="C1" s="12"/>
      <c r="F1" s="10" t="s">
        <v>27</v>
      </c>
      <c r="G1" s="9"/>
      <c r="H1" s="9"/>
      <c r="I1" s="9"/>
    </row>
    <row r="3" spans="1:15" x14ac:dyDescent="0.2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1</v>
      </c>
      <c r="I3" s="5" t="s">
        <v>29</v>
      </c>
    </row>
    <row r="4" spans="1:15" x14ac:dyDescent="0.2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VLOOKUP(F4,$A$4:$C$16,2,0)</f>
        <v>Pitt</v>
      </c>
      <c r="I4" s="2" t="str">
        <f>VLOOKUP(F4,$A$24:$C$36,2,0)</f>
        <v>Austin</v>
      </c>
    </row>
    <row r="5" spans="1:15" x14ac:dyDescent="0.2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VLOOKUP(F5,$A$4:$C$16,2,0)</f>
        <v>Williams</v>
      </c>
      <c r="I5" s="2" t="str">
        <f t="shared" ref="I5:I16" si="1">VLOOKUP(F5,$A$24:$C$36,2,0)</f>
        <v>Chicago</v>
      </c>
    </row>
    <row r="6" spans="1:15" x14ac:dyDescent="0.2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Stark</v>
      </c>
      <c r="I6" s="2" t="str">
        <f t="shared" si="1"/>
        <v>Austin</v>
      </c>
    </row>
    <row r="7" spans="1:15" x14ac:dyDescent="0.2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Manning</v>
      </c>
      <c r="I7" s="2" t="str">
        <f t="shared" si="1"/>
        <v>Columbus</v>
      </c>
      <c r="M7" t="s">
        <v>50</v>
      </c>
    </row>
    <row r="8" spans="1:15" ht="18.75" x14ac:dyDescent="0.3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Elway</v>
      </c>
      <c r="I8" s="2" t="str">
        <f t="shared" si="1"/>
        <v>Tampa Bay</v>
      </c>
      <c r="N8" s="14" t="s">
        <v>57</v>
      </c>
      <c r="O8" s="13"/>
    </row>
    <row r="9" spans="1:15" x14ac:dyDescent="0.2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Favre</v>
      </c>
      <c r="I9" s="2" t="str">
        <f t="shared" si="1"/>
        <v>Chicago</v>
      </c>
    </row>
    <row r="10" spans="1:15" x14ac:dyDescent="0.2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Pan</v>
      </c>
      <c r="I10" s="2" t="str">
        <f t="shared" si="1"/>
        <v>Chicago</v>
      </c>
    </row>
    <row r="11" spans="1:15" x14ac:dyDescent="0.2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Smith</v>
      </c>
      <c r="I11" s="2" t="str">
        <f t="shared" si="1"/>
        <v>Tampa Bay</v>
      </c>
    </row>
    <row r="12" spans="1:15" x14ac:dyDescent="0.2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Cline</v>
      </c>
      <c r="I12" s="2" t="str">
        <f t="shared" si="1"/>
        <v>Chicago</v>
      </c>
    </row>
    <row r="13" spans="1:15" x14ac:dyDescent="0.2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Jordan</v>
      </c>
      <c r="I13" s="2" t="str">
        <f t="shared" si="1"/>
        <v>Tampa Bay</v>
      </c>
    </row>
    <row r="14" spans="1:15" x14ac:dyDescent="0.2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Woods</v>
      </c>
      <c r="I14" s="2" t="str">
        <f t="shared" si="1"/>
        <v>Austin</v>
      </c>
    </row>
    <row r="15" spans="1:15" x14ac:dyDescent="0.2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Vick</v>
      </c>
      <c r="I15" s="2" t="str">
        <f t="shared" si="1"/>
        <v>Tampa Bay</v>
      </c>
    </row>
    <row r="16" spans="1:15" x14ac:dyDescent="0.2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Doe</v>
      </c>
      <c r="I16" s="2" t="str">
        <f t="shared" si="1"/>
        <v>Columbus</v>
      </c>
    </row>
    <row r="21" spans="1:3" ht="21.75" thickBot="1" x14ac:dyDescent="0.4">
      <c r="A21" s="11" t="s">
        <v>31</v>
      </c>
      <c r="B21" s="12"/>
      <c r="C21" s="12"/>
    </row>
    <row r="23" spans="1:3" x14ac:dyDescent="0.25">
      <c r="A23" s="6" t="s">
        <v>0</v>
      </c>
      <c r="B23" s="7" t="s">
        <v>29</v>
      </c>
      <c r="C23" s="8" t="s">
        <v>30</v>
      </c>
    </row>
    <row r="24" spans="1:3" x14ac:dyDescent="0.25">
      <c r="A24">
        <v>110608</v>
      </c>
      <c r="B24" t="s">
        <v>33</v>
      </c>
      <c r="C24" t="s">
        <v>40</v>
      </c>
    </row>
    <row r="25" spans="1:3" x14ac:dyDescent="0.25">
      <c r="A25">
        <v>253072</v>
      </c>
      <c r="B25" t="s">
        <v>34</v>
      </c>
      <c r="C25" t="s">
        <v>35</v>
      </c>
    </row>
    <row r="26" spans="1:3" x14ac:dyDescent="0.25">
      <c r="A26">
        <v>352711</v>
      </c>
      <c r="B26" t="s">
        <v>36</v>
      </c>
      <c r="C26" t="s">
        <v>37</v>
      </c>
    </row>
    <row r="27" spans="1:3" x14ac:dyDescent="0.25">
      <c r="A27">
        <v>391006</v>
      </c>
      <c r="B27" t="s">
        <v>34</v>
      </c>
      <c r="C27" t="s">
        <v>35</v>
      </c>
    </row>
    <row r="28" spans="1:3" x14ac:dyDescent="0.25">
      <c r="A28">
        <v>392128</v>
      </c>
      <c r="B28" t="s">
        <v>34</v>
      </c>
      <c r="C28" t="s">
        <v>35</v>
      </c>
    </row>
    <row r="29" spans="1:3" x14ac:dyDescent="0.25">
      <c r="A29">
        <v>549457</v>
      </c>
      <c r="B29" t="s">
        <v>36</v>
      </c>
      <c r="C29" t="s">
        <v>37</v>
      </c>
    </row>
    <row r="30" spans="1:3" x14ac:dyDescent="0.25">
      <c r="A30">
        <v>580622</v>
      </c>
      <c r="B30" t="s">
        <v>33</v>
      </c>
      <c r="C30" t="s">
        <v>40</v>
      </c>
    </row>
    <row r="31" spans="1:3" x14ac:dyDescent="0.25">
      <c r="A31">
        <v>602693</v>
      </c>
      <c r="B31" t="s">
        <v>36</v>
      </c>
      <c r="C31" t="s">
        <v>37</v>
      </c>
    </row>
    <row r="32" spans="1:3" x14ac:dyDescent="0.25">
      <c r="A32">
        <v>611810</v>
      </c>
      <c r="B32" t="s">
        <v>38</v>
      </c>
      <c r="C32" t="s">
        <v>39</v>
      </c>
    </row>
    <row r="33" spans="1:3" x14ac:dyDescent="0.25">
      <c r="A33">
        <v>612235</v>
      </c>
      <c r="B33" t="s">
        <v>36</v>
      </c>
      <c r="C33" t="s">
        <v>37</v>
      </c>
    </row>
    <row r="34" spans="1:3" x14ac:dyDescent="0.25">
      <c r="A34">
        <v>795574</v>
      </c>
      <c r="B34" t="s">
        <v>38</v>
      </c>
      <c r="C34" t="s">
        <v>39</v>
      </c>
    </row>
    <row r="35" spans="1:3" x14ac:dyDescent="0.25">
      <c r="A35">
        <v>830385</v>
      </c>
      <c r="B35" t="s">
        <v>34</v>
      </c>
      <c r="C35" t="s">
        <v>35</v>
      </c>
    </row>
    <row r="36" spans="1:3" x14ac:dyDescent="0.25">
      <c r="A36">
        <v>990678</v>
      </c>
      <c r="B36" t="s">
        <v>38</v>
      </c>
      <c r="C36" t="s">
        <v>39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N8:O8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I36"/>
  <sheetViews>
    <sheetView showGridLines="0" topLeftCell="A3" workbookViewId="0">
      <selection activeCell="I31" sqref="I31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10.5703125" bestFit="1" customWidth="1"/>
    <col min="6" max="6" width="13" customWidth="1"/>
    <col min="7" max="7" width="10.42578125" customWidth="1"/>
    <col min="8" max="9" width="14" customWidth="1"/>
  </cols>
  <sheetData>
    <row r="1" spans="1:9" ht="21.75" thickBot="1" x14ac:dyDescent="0.4">
      <c r="A1" s="11" t="s">
        <v>32</v>
      </c>
      <c r="B1" s="12"/>
      <c r="C1" s="12"/>
      <c r="F1" s="10" t="s">
        <v>27</v>
      </c>
      <c r="G1" s="9"/>
      <c r="H1" s="9"/>
      <c r="I1" s="9"/>
    </row>
    <row r="3" spans="1:9" x14ac:dyDescent="0.2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1</v>
      </c>
      <c r="I3" s="5" t="s">
        <v>29</v>
      </c>
    </row>
    <row r="4" spans="1:9" x14ac:dyDescent="0.2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VLOOKUP(F4,$A$3:$C$16,2,0)</f>
        <v>Pitt</v>
      </c>
      <c r="I4" s="2" t="str">
        <f>VLOOKUP(F4,$A$23:$C$36,2,0)</f>
        <v>Austin</v>
      </c>
    </row>
    <row r="5" spans="1:9" x14ac:dyDescent="0.2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VLOOKUP(F5,$A$3:$C$16,2,0)</f>
        <v>Williams</v>
      </c>
      <c r="I5" s="2" t="str">
        <f t="shared" ref="I5:I16" si="1">VLOOKUP(F5,$A$23:$C$36,2,0)</f>
        <v>Chicago</v>
      </c>
    </row>
    <row r="6" spans="1:9" x14ac:dyDescent="0.2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Stark</v>
      </c>
      <c r="I6" s="2" t="str">
        <f t="shared" si="1"/>
        <v>Austin</v>
      </c>
    </row>
    <row r="7" spans="1:9" x14ac:dyDescent="0.2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Manning</v>
      </c>
      <c r="I7" s="2" t="str">
        <f t="shared" si="1"/>
        <v>Columbus</v>
      </c>
    </row>
    <row r="8" spans="1:9" x14ac:dyDescent="0.2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Elway</v>
      </c>
      <c r="I8" s="2" t="str">
        <f t="shared" si="1"/>
        <v>Tampa Bay</v>
      </c>
    </row>
    <row r="9" spans="1:9" x14ac:dyDescent="0.2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Favre</v>
      </c>
      <c r="I9" s="2" t="str">
        <f t="shared" si="1"/>
        <v>Chicago</v>
      </c>
    </row>
    <row r="10" spans="1:9" x14ac:dyDescent="0.2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Pan</v>
      </c>
      <c r="I10" s="2" t="str">
        <f t="shared" si="1"/>
        <v>Chicago</v>
      </c>
    </row>
    <row r="11" spans="1:9" x14ac:dyDescent="0.2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Smith</v>
      </c>
      <c r="I11" s="2" t="str">
        <f t="shared" si="1"/>
        <v>Tampa Bay</v>
      </c>
    </row>
    <row r="12" spans="1:9" x14ac:dyDescent="0.2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Cline</v>
      </c>
      <c r="I12" s="2" t="str">
        <f t="shared" si="1"/>
        <v>Chicago</v>
      </c>
    </row>
    <row r="13" spans="1:9" x14ac:dyDescent="0.2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Jordan</v>
      </c>
      <c r="I13" s="2" t="str">
        <f t="shared" si="1"/>
        <v>Tampa Bay</v>
      </c>
    </row>
    <row r="14" spans="1:9" x14ac:dyDescent="0.2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Woods</v>
      </c>
      <c r="I14" s="2" t="str">
        <f t="shared" si="1"/>
        <v>Austin</v>
      </c>
    </row>
    <row r="15" spans="1:9" x14ac:dyDescent="0.2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Vick</v>
      </c>
      <c r="I15" s="2" t="str">
        <f t="shared" si="1"/>
        <v>Tampa Bay</v>
      </c>
    </row>
    <row r="16" spans="1:9" x14ac:dyDescent="0.2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Doe</v>
      </c>
      <c r="I16" s="2" t="str">
        <f t="shared" si="1"/>
        <v>Columbus</v>
      </c>
    </row>
    <row r="21" spans="1:3" ht="21.75" thickBot="1" x14ac:dyDescent="0.4">
      <c r="A21" s="11" t="s">
        <v>31</v>
      </c>
      <c r="B21" s="12"/>
      <c r="C21" s="12"/>
    </row>
    <row r="23" spans="1:3" x14ac:dyDescent="0.25">
      <c r="A23" s="6" t="s">
        <v>0</v>
      </c>
      <c r="B23" s="7" t="s">
        <v>29</v>
      </c>
      <c r="C23" s="8" t="s">
        <v>30</v>
      </c>
    </row>
    <row r="24" spans="1:3" x14ac:dyDescent="0.25">
      <c r="A24">
        <v>110608</v>
      </c>
      <c r="B24" t="s">
        <v>33</v>
      </c>
      <c r="C24" t="s">
        <v>40</v>
      </c>
    </row>
    <row r="25" spans="1:3" x14ac:dyDescent="0.25">
      <c r="A25">
        <v>253072</v>
      </c>
      <c r="B25" t="s">
        <v>34</v>
      </c>
      <c r="C25" t="s">
        <v>35</v>
      </c>
    </row>
    <row r="26" spans="1:3" x14ac:dyDescent="0.25">
      <c r="A26">
        <v>352711</v>
      </c>
      <c r="B26" t="s">
        <v>36</v>
      </c>
      <c r="C26" t="s">
        <v>37</v>
      </c>
    </row>
    <row r="27" spans="1:3" x14ac:dyDescent="0.25">
      <c r="A27">
        <v>391006</v>
      </c>
      <c r="B27" t="s">
        <v>34</v>
      </c>
      <c r="C27" t="s">
        <v>35</v>
      </c>
    </row>
    <row r="28" spans="1:3" x14ac:dyDescent="0.25">
      <c r="A28">
        <v>392128</v>
      </c>
      <c r="B28" t="s">
        <v>34</v>
      </c>
      <c r="C28" t="s">
        <v>35</v>
      </c>
    </row>
    <row r="29" spans="1:3" x14ac:dyDescent="0.25">
      <c r="A29">
        <v>549457</v>
      </c>
      <c r="B29" t="s">
        <v>36</v>
      </c>
      <c r="C29" t="s">
        <v>37</v>
      </c>
    </row>
    <row r="30" spans="1:3" x14ac:dyDescent="0.25">
      <c r="A30">
        <v>580622</v>
      </c>
      <c r="B30" t="s">
        <v>33</v>
      </c>
      <c r="C30" t="s">
        <v>40</v>
      </c>
    </row>
    <row r="31" spans="1:3" x14ac:dyDescent="0.25">
      <c r="A31">
        <v>602693</v>
      </c>
      <c r="B31" t="s">
        <v>36</v>
      </c>
      <c r="C31" t="s">
        <v>37</v>
      </c>
    </row>
    <row r="32" spans="1:3" x14ac:dyDescent="0.25">
      <c r="A32">
        <v>611810</v>
      </c>
      <c r="B32" t="s">
        <v>38</v>
      </c>
      <c r="C32" t="s">
        <v>39</v>
      </c>
    </row>
    <row r="33" spans="1:3" x14ac:dyDescent="0.25">
      <c r="A33">
        <v>612235</v>
      </c>
      <c r="B33" t="s">
        <v>36</v>
      </c>
      <c r="C33" t="s">
        <v>37</v>
      </c>
    </row>
    <row r="34" spans="1:3" x14ac:dyDescent="0.25">
      <c r="A34">
        <v>795574</v>
      </c>
      <c r="B34" t="s">
        <v>38</v>
      </c>
      <c r="C34" t="s">
        <v>39</v>
      </c>
    </row>
    <row r="35" spans="1:3" x14ac:dyDescent="0.25">
      <c r="A35">
        <v>830385</v>
      </c>
      <c r="B35" t="s">
        <v>34</v>
      </c>
      <c r="C35" t="s">
        <v>35</v>
      </c>
    </row>
    <row r="36" spans="1:3" x14ac:dyDescent="0.25">
      <c r="A36">
        <v>990678</v>
      </c>
      <c r="B36" t="s">
        <v>38</v>
      </c>
      <c r="C36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L17"/>
  <sheetViews>
    <sheetView showGridLines="0" tabSelected="1" workbookViewId="0">
      <selection activeCell="M10" sqref="M10"/>
    </sheetView>
  </sheetViews>
  <sheetFormatPr defaultRowHeight="15" x14ac:dyDescent="0.25"/>
  <cols>
    <col min="1" max="1" width="12.140625" bestFit="1" customWidth="1"/>
    <col min="2" max="2" width="14.42578125" customWidth="1"/>
    <col min="4" max="4" width="11" customWidth="1"/>
    <col min="5" max="5" width="14.140625" customWidth="1"/>
    <col min="6" max="6" width="11" customWidth="1"/>
    <col min="7" max="7" width="14" customWidth="1"/>
    <col min="8" max="8" width="11" customWidth="1"/>
  </cols>
  <sheetData>
    <row r="1" spans="1:12" ht="21.75" thickBot="1" x14ac:dyDescent="0.4">
      <c r="A1" s="11" t="s">
        <v>42</v>
      </c>
      <c r="B1" s="12"/>
      <c r="D1" t="s">
        <v>52</v>
      </c>
      <c r="E1" s="10" t="s">
        <v>53</v>
      </c>
      <c r="F1" s="9" t="s">
        <v>54</v>
      </c>
      <c r="G1" s="9" t="s">
        <v>55</v>
      </c>
      <c r="H1" t="s">
        <v>56</v>
      </c>
    </row>
    <row r="2" spans="1:12" ht="21.75" thickBot="1" x14ac:dyDescent="0.4">
      <c r="E2" s="10" t="s">
        <v>27</v>
      </c>
      <c r="F2" s="9"/>
      <c r="G2" s="9"/>
    </row>
    <row r="3" spans="1:12" x14ac:dyDescent="0.25">
      <c r="A3" s="6" t="s">
        <v>48</v>
      </c>
      <c r="B3" s="7" t="s">
        <v>41</v>
      </c>
    </row>
    <row r="4" spans="1:12" x14ac:dyDescent="0.25">
      <c r="A4" s="1">
        <v>25000</v>
      </c>
      <c r="B4" t="s">
        <v>43</v>
      </c>
      <c r="E4" s="3" t="s">
        <v>0</v>
      </c>
      <c r="F4" s="4" t="s">
        <v>28</v>
      </c>
      <c r="G4" s="4" t="s">
        <v>41</v>
      </c>
    </row>
    <row r="5" spans="1:12" x14ac:dyDescent="0.25">
      <c r="A5" s="1">
        <v>50000</v>
      </c>
      <c r="B5" t="s">
        <v>44</v>
      </c>
      <c r="E5">
        <v>990678</v>
      </c>
      <c r="F5" s="1">
        <v>84289</v>
      </c>
      <c r="G5" s="2" t="str">
        <f>VLOOKUP(Table1[[#This Row],[Column3]],$A$4:$B$8,2,1)</f>
        <v>Level C</v>
      </c>
    </row>
    <row r="6" spans="1:12" x14ac:dyDescent="0.25">
      <c r="A6" s="1">
        <v>75000</v>
      </c>
      <c r="B6" t="s">
        <v>45</v>
      </c>
      <c r="E6">
        <v>830385</v>
      </c>
      <c r="F6" s="1">
        <v>137670</v>
      </c>
      <c r="G6" s="2" t="str">
        <f>VLOOKUP(Table1[[#This Row],[Column3]],$A$4:$B$8,2,1)</f>
        <v>Level D</v>
      </c>
    </row>
    <row r="7" spans="1:12" x14ac:dyDescent="0.25">
      <c r="A7" s="1">
        <v>100000</v>
      </c>
      <c r="B7" t="s">
        <v>46</v>
      </c>
      <c r="E7">
        <v>795574</v>
      </c>
      <c r="F7" s="1">
        <v>190024</v>
      </c>
      <c r="G7" s="2" t="str">
        <f>VLOOKUP(Table1[[#This Row],[Column3]],$A$4:$B$8,2,1)</f>
        <v>Level E</v>
      </c>
      <c r="J7" t="s">
        <v>51</v>
      </c>
    </row>
    <row r="8" spans="1:12" ht="18.75" x14ac:dyDescent="0.3">
      <c r="A8" s="1">
        <v>150000</v>
      </c>
      <c r="B8" t="s">
        <v>47</v>
      </c>
      <c r="E8">
        <v>580622</v>
      </c>
      <c r="F8" s="1">
        <v>122604</v>
      </c>
      <c r="G8" s="2" t="str">
        <f>VLOOKUP(Table1[[#This Row],[Column3]],$A$4:$B$8,2,1)</f>
        <v>Level D</v>
      </c>
      <c r="K8" s="14" t="s">
        <v>57</v>
      </c>
      <c r="L8" s="13"/>
    </row>
    <row r="9" spans="1:12" x14ac:dyDescent="0.25">
      <c r="E9">
        <v>549457</v>
      </c>
      <c r="F9" s="1">
        <v>111709</v>
      </c>
      <c r="G9" s="2" t="str">
        <f>VLOOKUP(Table1[[#This Row],[Column3]],$A$4:$B$8,2,1)</f>
        <v>Level D</v>
      </c>
    </row>
    <row r="10" spans="1:12" x14ac:dyDescent="0.25">
      <c r="E10">
        <v>392128</v>
      </c>
      <c r="F10" s="1">
        <v>85931</v>
      </c>
      <c r="G10" s="2" t="str">
        <f>VLOOKUP(Table1[[#This Row],[Column3]],$A$4:$B$8,2,1)</f>
        <v>Level C</v>
      </c>
    </row>
    <row r="11" spans="1:12" x14ac:dyDescent="0.25">
      <c r="E11">
        <v>391006</v>
      </c>
      <c r="F11" s="1">
        <v>168114</v>
      </c>
      <c r="G11" s="2" t="str">
        <f>VLOOKUP(Table1[[#This Row],[Column3]],$A$4:$B$8,2,1)</f>
        <v>Level E</v>
      </c>
    </row>
    <row r="12" spans="1:12" x14ac:dyDescent="0.25">
      <c r="E12">
        <v>352711</v>
      </c>
      <c r="F12" s="1">
        <v>89627</v>
      </c>
      <c r="G12" s="2" t="str">
        <f>VLOOKUP(Table1[[#This Row],[Column3]],$A$4:$B$8,2,1)</f>
        <v>Level C</v>
      </c>
    </row>
    <row r="13" spans="1:12" x14ac:dyDescent="0.25">
      <c r="E13">
        <v>253072</v>
      </c>
      <c r="F13" s="1">
        <v>149946</v>
      </c>
      <c r="G13" s="2" t="str">
        <f>VLOOKUP(Table1[[#This Row],[Column3]],$A$4:$B$8,2,1)</f>
        <v>Level D</v>
      </c>
    </row>
    <row r="14" spans="1:12" x14ac:dyDescent="0.25">
      <c r="E14">
        <v>612235</v>
      </c>
      <c r="F14" s="1">
        <v>145893</v>
      </c>
      <c r="G14" s="2" t="str">
        <f>VLOOKUP(Table1[[#This Row],[Column3]],$A$4:$B$8,2,1)</f>
        <v>Level D</v>
      </c>
    </row>
    <row r="15" spans="1:12" x14ac:dyDescent="0.25">
      <c r="E15">
        <v>611810</v>
      </c>
      <c r="F15" s="1">
        <v>64757</v>
      </c>
      <c r="G15" s="2" t="str">
        <f>VLOOKUP(Table1[[#This Row],[Column3]],$A$4:$B$8,2,1)</f>
        <v>Level B</v>
      </c>
    </row>
    <row r="16" spans="1:12" x14ac:dyDescent="0.25">
      <c r="E16">
        <v>602693</v>
      </c>
      <c r="F16" s="1">
        <v>71478</v>
      </c>
      <c r="G16" s="2" t="str">
        <f>VLOOKUP(Table1[[#This Row],[Column3]],$A$4:$B$8,2,1)</f>
        <v>Level B</v>
      </c>
    </row>
    <row r="17" spans="5:7" x14ac:dyDescent="0.25">
      <c r="E17">
        <v>110608</v>
      </c>
      <c r="F17" s="1">
        <v>131505</v>
      </c>
      <c r="G17" s="2" t="str">
        <f>VLOOKUP(Table1[[#This Row],[Column3]],$A$4:$B$8,2,1)</f>
        <v>Level D</v>
      </c>
    </row>
  </sheetData>
  <mergeCells count="1">
    <mergeCell ref="K8:L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G16"/>
  <sheetViews>
    <sheetView showGridLines="0" workbookViewId="0">
      <selection activeCell="I31" sqref="I31"/>
    </sheetView>
  </sheetViews>
  <sheetFormatPr defaultRowHeight="15" x14ac:dyDescent="0.25"/>
  <cols>
    <col min="1" max="1" width="12.140625" bestFit="1" customWidth="1"/>
    <col min="2" max="2" width="14.42578125" customWidth="1"/>
    <col min="5" max="5" width="13" customWidth="1"/>
    <col min="6" max="6" width="10.42578125" customWidth="1"/>
    <col min="7" max="7" width="14" customWidth="1"/>
  </cols>
  <sheetData>
    <row r="1" spans="1:7" ht="21.75" thickBot="1" x14ac:dyDescent="0.4">
      <c r="A1" s="11" t="s">
        <v>42</v>
      </c>
      <c r="B1" s="12"/>
      <c r="E1" s="10" t="s">
        <v>27</v>
      </c>
      <c r="F1" s="9"/>
      <c r="G1" s="9"/>
    </row>
    <row r="3" spans="1:7" x14ac:dyDescent="0.25">
      <c r="A3" s="6" t="s">
        <v>48</v>
      </c>
      <c r="B3" s="7" t="s">
        <v>41</v>
      </c>
      <c r="E3" s="3" t="s">
        <v>0</v>
      </c>
      <c r="F3" s="4" t="s">
        <v>28</v>
      </c>
      <c r="G3" s="4" t="s">
        <v>41</v>
      </c>
    </row>
    <row r="4" spans="1:7" x14ac:dyDescent="0.25">
      <c r="A4" s="1">
        <v>25000</v>
      </c>
      <c r="B4" t="s">
        <v>43</v>
      </c>
      <c r="E4">
        <v>990678</v>
      </c>
      <c r="F4" s="1">
        <v>84289</v>
      </c>
      <c r="G4" s="2" t="str">
        <f>VLOOKUP(F4,$A$3:$B$8,2,TRUE)</f>
        <v>Level C</v>
      </c>
    </row>
    <row r="5" spans="1:7" x14ac:dyDescent="0.25">
      <c r="A5" s="1">
        <v>50000</v>
      </c>
      <c r="B5" t="s">
        <v>44</v>
      </c>
      <c r="E5">
        <v>830385</v>
      </c>
      <c r="F5" s="1">
        <v>137670</v>
      </c>
      <c r="G5" s="2" t="str">
        <f t="shared" ref="G5:G16" si="0">VLOOKUP(F5,$A$3:$B$8,2,TRUE)</f>
        <v>Level D</v>
      </c>
    </row>
    <row r="6" spans="1:7" x14ac:dyDescent="0.25">
      <c r="A6" s="1">
        <v>75000</v>
      </c>
      <c r="B6" t="s">
        <v>45</v>
      </c>
      <c r="E6">
        <v>795574</v>
      </c>
      <c r="F6" s="1">
        <v>190024</v>
      </c>
      <c r="G6" s="2" t="str">
        <f t="shared" si="0"/>
        <v>Level E</v>
      </c>
    </row>
    <row r="7" spans="1:7" x14ac:dyDescent="0.25">
      <c r="A7" s="1">
        <v>100000</v>
      </c>
      <c r="B7" t="s">
        <v>46</v>
      </c>
      <c r="E7">
        <v>580622</v>
      </c>
      <c r="F7" s="1">
        <v>122604</v>
      </c>
      <c r="G7" s="2" t="str">
        <f t="shared" si="0"/>
        <v>Level D</v>
      </c>
    </row>
    <row r="8" spans="1:7" x14ac:dyDescent="0.25">
      <c r="A8" s="1">
        <v>150000</v>
      </c>
      <c r="B8" t="s">
        <v>47</v>
      </c>
      <c r="E8">
        <v>549457</v>
      </c>
      <c r="F8" s="1">
        <v>111709</v>
      </c>
      <c r="G8" s="2" t="str">
        <f t="shared" si="0"/>
        <v>Level D</v>
      </c>
    </row>
    <row r="9" spans="1:7" x14ac:dyDescent="0.25">
      <c r="E9">
        <v>392128</v>
      </c>
      <c r="F9" s="1">
        <v>85931</v>
      </c>
      <c r="G9" s="2" t="str">
        <f t="shared" si="0"/>
        <v>Level C</v>
      </c>
    </row>
    <row r="10" spans="1:7" x14ac:dyDescent="0.25">
      <c r="E10">
        <v>391006</v>
      </c>
      <c r="F10" s="1">
        <v>168114</v>
      </c>
      <c r="G10" s="2" t="str">
        <f t="shared" si="0"/>
        <v>Level E</v>
      </c>
    </row>
    <row r="11" spans="1:7" x14ac:dyDescent="0.25">
      <c r="E11">
        <v>352711</v>
      </c>
      <c r="F11" s="1">
        <v>89627</v>
      </c>
      <c r="G11" s="2" t="str">
        <f t="shared" si="0"/>
        <v>Level C</v>
      </c>
    </row>
    <row r="12" spans="1:7" x14ac:dyDescent="0.25">
      <c r="E12">
        <v>253072</v>
      </c>
      <c r="F12" s="1">
        <v>149946</v>
      </c>
      <c r="G12" s="2" t="str">
        <f t="shared" si="0"/>
        <v>Level D</v>
      </c>
    </row>
    <row r="13" spans="1:7" x14ac:dyDescent="0.25">
      <c r="E13">
        <v>612235</v>
      </c>
      <c r="F13" s="1">
        <v>145893</v>
      </c>
      <c r="G13" s="2" t="str">
        <f t="shared" si="0"/>
        <v>Level D</v>
      </c>
    </row>
    <row r="14" spans="1:7" x14ac:dyDescent="0.25">
      <c r="E14">
        <v>611810</v>
      </c>
      <c r="F14" s="1">
        <v>64757</v>
      </c>
      <c r="G14" s="2" t="str">
        <f t="shared" si="0"/>
        <v>Level B</v>
      </c>
    </row>
    <row r="15" spans="1:7" x14ac:dyDescent="0.25">
      <c r="E15">
        <v>602693</v>
      </c>
      <c r="F15" s="1">
        <v>71478</v>
      </c>
      <c r="G15" s="2" t="str">
        <f t="shared" si="0"/>
        <v>Level B</v>
      </c>
    </row>
    <row r="16" spans="1:7" x14ac:dyDescent="0.25">
      <c r="E16">
        <v>110608</v>
      </c>
      <c r="F16" s="1">
        <v>131505</v>
      </c>
      <c r="G16" s="2" t="str">
        <f t="shared" si="0"/>
        <v>Level D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 1</vt:lpstr>
      <vt:lpstr>Example 1 (Solution)</vt:lpstr>
      <vt:lpstr>Example 2</vt:lpstr>
      <vt:lpstr>Example 2 (Solution)</vt:lpstr>
      <vt:lpstr>Example 3</vt:lpstr>
      <vt:lpstr>Example 3 (Solution)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DELL</cp:lastModifiedBy>
  <dcterms:created xsi:type="dcterms:W3CDTF">2022-06-09T01:13:09Z</dcterms:created>
  <dcterms:modified xsi:type="dcterms:W3CDTF">2025-01-01T16:12:57Z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2023-03-06T08:09:01Z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3b69e5fb-c32f-434b-8e05-f1dc29bab916</vt:lpwstr>
  </property>
  <property fmtid="{D5CDD505-2E9C-101B-9397-08002B2CF9AE}" pid="8" name="MSIP_Label_767a5d4c-6e68-416c-b53b-e38e179fc32e_ContentBits">
    <vt:lpwstr>0</vt:lpwstr>
  </property>
</Properties>
</file>